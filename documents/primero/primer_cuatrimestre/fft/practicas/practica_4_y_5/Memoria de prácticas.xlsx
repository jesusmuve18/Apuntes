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fileSharing readOnlyRecommended="1"/>
  <workbookPr codeName="ThisWorkbook" defaultThemeVersion="166925"/>
  <mc:AlternateContent xmlns:mc="http://schemas.openxmlformats.org/markup-compatibility/2006">
    <mc:Choice Requires="x15">
      <x15ac:absPath xmlns:x15ac="http://schemas.microsoft.com/office/spreadsheetml/2010/11/ac" url="H:\Mi unidad\Primero\Primer Cuatrimestre\Informática\FFT\Prácticas\Práctica 4 y 5\"/>
    </mc:Choice>
  </mc:AlternateContent>
  <xr:revisionPtr revIDLastSave="0" documentId="13_ncr:1_{813ED5AF-0140-4CE6-8798-E165E0C2BA06}" xr6:coauthVersionLast="47" xr6:coauthVersionMax="47" xr10:uidLastSave="{00000000-0000-0000-0000-000000000000}"/>
  <bookViews>
    <workbookView xWindow="345" yWindow="0" windowWidth="28800" windowHeight="11295" activeTab="5" xr2:uid="{ADFB3500-845D-4F28-AA14-80F20C5D2B28}"/>
  </bookViews>
  <sheets>
    <sheet name="Ficha Alumnos" sheetId="6" r:id="rId1"/>
    <sheet name="Práctica 1" sheetId="3" r:id="rId2"/>
    <sheet name="Práctica 2" sheetId="4" r:id="rId3"/>
    <sheet name="Práctica 3" sheetId="5" r:id="rId4"/>
    <sheet name="Práctica 4" sheetId="1" r:id="rId5"/>
    <sheet name="Práctica 5" sheetId="2"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3" i="2" l="1"/>
  <c r="K134" i="2"/>
  <c r="K135" i="2"/>
  <c r="K136" i="2"/>
  <c r="K132" i="2"/>
  <c r="I17" i="5" l="1"/>
  <c r="J17" i="5" s="1"/>
  <c r="I36" i="5"/>
  <c r="J36" i="5" s="1"/>
  <c r="E36" i="5"/>
  <c r="F36" i="5" s="1"/>
  <c r="I35" i="5"/>
  <c r="J35" i="5" s="1"/>
  <c r="F35" i="5"/>
  <c r="I34" i="5"/>
  <c r="J34" i="5" s="1"/>
  <c r="F34" i="5"/>
  <c r="I33" i="5"/>
  <c r="J33" i="5" s="1"/>
  <c r="F33" i="5"/>
  <c r="I32" i="5"/>
  <c r="J32" i="5" s="1"/>
  <c r="F32" i="5"/>
  <c r="I31" i="5"/>
  <c r="J31" i="5" s="1"/>
  <c r="E31" i="5"/>
  <c r="F31" i="5" s="1"/>
  <c r="I30" i="5"/>
  <c r="F30" i="5"/>
  <c r="I29" i="5"/>
  <c r="J29" i="5" s="1"/>
  <c r="E29" i="5"/>
  <c r="F29" i="5" s="1"/>
  <c r="I28" i="5"/>
  <c r="F28" i="5"/>
  <c r="I27" i="5"/>
  <c r="E27" i="5"/>
  <c r="F27" i="5" s="1"/>
  <c r="I26" i="5"/>
  <c r="F26" i="5"/>
  <c r="I25" i="5"/>
  <c r="J25" i="5" s="1"/>
  <c r="F25" i="5"/>
  <c r="I24" i="5"/>
  <c r="F24" i="5"/>
  <c r="I23" i="5"/>
  <c r="J23" i="5" s="1"/>
  <c r="F23" i="5"/>
  <c r="I22" i="5"/>
  <c r="F22" i="5"/>
  <c r="I21" i="5"/>
  <c r="J21" i="5" s="1"/>
  <c r="F21" i="5"/>
  <c r="I20" i="5"/>
  <c r="F20" i="5"/>
  <c r="I19" i="5"/>
  <c r="J19" i="5" s="1"/>
  <c r="F19" i="5"/>
  <c r="I18" i="5"/>
  <c r="F18" i="5"/>
  <c r="F17" i="5"/>
  <c r="M49" i="5" l="1"/>
  <c r="N48" i="5"/>
  <c r="M48" i="5"/>
  <c r="M50" i="5" s="1"/>
  <c r="J18" i="5"/>
  <c r="J24" i="5"/>
  <c r="J27" i="5"/>
  <c r="N49" i="5"/>
  <c r="J20" i="5"/>
  <c r="J22" i="5"/>
  <c r="J26" i="5"/>
  <c r="J28" i="5"/>
  <c r="J30" i="5"/>
  <c r="N50" i="5" l="1"/>
  <c r="M64" i="3" l="1"/>
  <c r="M65" i="3"/>
  <c r="M63" i="3"/>
  <c r="L64" i="3"/>
  <c r="L65" i="3"/>
  <c r="L63" i="3"/>
  <c r="K64" i="3"/>
  <c r="K65" i="3"/>
  <c r="K63" i="3"/>
  <c r="H11" i="3"/>
  <c r="H12" i="3"/>
  <c r="H37" i="3"/>
  <c r="H38" i="3"/>
  <c r="I10" i="1"/>
  <c r="H37" i="1"/>
  <c r="F11" i="2"/>
  <c r="J12" i="2"/>
  <c r="J13" i="2"/>
  <c r="J14" i="2"/>
  <c r="J15" i="2"/>
  <c r="J16" i="2"/>
  <c r="J17" i="2"/>
  <c r="J18" i="2"/>
  <c r="J19" i="2"/>
  <c r="J20" i="2"/>
  <c r="J11" i="2"/>
  <c r="J10" i="2"/>
  <c r="L10" i="2"/>
  <c r="L11" i="2"/>
  <c r="L12" i="2"/>
  <c r="L13" i="2"/>
  <c r="L14" i="2"/>
  <c r="L15" i="2"/>
  <c r="L16" i="2"/>
  <c r="L17" i="2"/>
  <c r="L18" i="2"/>
  <c r="L19" i="2"/>
  <c r="L20" i="2"/>
  <c r="K72" i="2"/>
  <c r="G74" i="2"/>
  <c r="G75" i="2"/>
  <c r="G76" i="2"/>
  <c r="G77" i="2"/>
  <c r="G78" i="2"/>
  <c r="G79" i="2"/>
  <c r="G80" i="2"/>
  <c r="G81" i="2"/>
  <c r="G82" i="2"/>
  <c r="G73" i="2"/>
  <c r="G72" i="2"/>
  <c r="I74" i="2"/>
  <c r="I75" i="2"/>
  <c r="I76" i="2"/>
  <c r="I77" i="2"/>
  <c r="I78" i="2"/>
  <c r="I79" i="2"/>
  <c r="I80" i="2"/>
  <c r="I81" i="2"/>
  <c r="I82" i="2"/>
  <c r="I73" i="2"/>
  <c r="I72" i="2"/>
  <c r="F12" i="2"/>
  <c r="F13" i="2"/>
  <c r="F14" i="2"/>
  <c r="F15" i="2"/>
  <c r="F16" i="2"/>
  <c r="F17" i="2"/>
  <c r="F18" i="2"/>
  <c r="F19" i="2"/>
  <c r="F20" i="2"/>
  <c r="F10" i="2"/>
  <c r="K74" i="2"/>
  <c r="K73" i="2"/>
  <c r="K75" i="2"/>
  <c r="K76" i="2"/>
  <c r="K77" i="2"/>
  <c r="K78" i="2"/>
  <c r="K79" i="2"/>
  <c r="K80" i="2"/>
  <c r="K81" i="2"/>
  <c r="K82" i="2"/>
  <c r="H35" i="1"/>
  <c r="H36" i="1"/>
  <c r="H38" i="1"/>
  <c r="H39" i="1"/>
  <c r="H40" i="1"/>
  <c r="H41" i="1"/>
  <c r="H42" i="1"/>
  <c r="H43" i="1"/>
  <c r="H47" i="1"/>
  <c r="H51" i="1"/>
  <c r="H52" i="1"/>
  <c r="H53" i="1"/>
  <c r="H54" i="1"/>
  <c r="H55" i="1"/>
  <c r="H49" i="1"/>
  <c r="H50" i="1"/>
  <c r="H44" i="1"/>
  <c r="H45" i="1"/>
  <c r="H46" i="1"/>
  <c r="H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tc={6CC02D17-855C-4635-BDBD-432C6DD3D0BF}</author>
    <author>tc={E383F7D7-5CB5-45A6-B45E-7158F0AC7422}</author>
    <author>tc={8A62AAED-5F88-4CE2-813C-FF1EDEB939BD}</author>
  </authors>
  <commentList>
    <comment ref="E2" authorId="0" shapeId="0" xr:uid="{6CC02D17-855C-4635-BDBD-432C6DD3D0BF}">
      <text>
        <t>[Comentario encadenado]
Su versión de Excel le permite leer este comentario encadenado; sin embargo, las ediciones que se apliquen se quitarán si el archivo se abre en una versión más reciente de Excel. Más información: https://go.microsoft.com/fwlink/?linkid=870924
Comentario:
    Marrón - Negro - Naranja - Oro</t>
      </text>
    </comment>
    <comment ref="G2" authorId="1" shapeId="0" xr:uid="{E383F7D7-5CB5-45A6-B45E-7158F0AC7422}">
      <text>
        <t>[Comentario encadenado]
Su versión de Excel le permite leer este comentario encadenado; sin embargo, las ediciones que se apliquen se quitarán si el archivo se abre en una versión más reciente de Excel. Más información: https://go.microsoft.com/fwlink/?linkid=870924
Comentario:
    Amarillo - Violeta - Rojo - Oro</t>
      </text>
    </comment>
    <comment ref="L62" authorId="2" shapeId="0" xr:uid="{8A62AAED-5F88-4CE2-813C-FF1EDEB939BD}">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Mediante la Ley de Ohm
I=∆V/R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tc={46EF4820-0D25-46C1-8333-424D7592E12B}</author>
    <author>tc={F8F0D57B-2BF7-44AD-8505-6D9DA4788A91}</author>
    <author>tc={768051EE-7670-4870-AD6E-F8E3B75A168B}</author>
  </authors>
  <commentList>
    <comment ref="H3" authorId="0" shapeId="0" xr:uid="{46EF4820-0D25-46C1-8333-424D7592E12B}">
      <text>
        <t>[Comentario encadenado]
Su versión de Excel le permite leer este comentario encadenado; sin embargo, las ediciones que se apliquen se quitarán si el archivo se abre en una versión más reciente de Excel. Más información: https://go.microsoft.com/fwlink/?linkid=870924
Comentario:
    Finalmente se utilizó una resistencia de 1Ω debido a que no había en el laboratorio de 10 Ω</t>
      </text>
    </comment>
    <comment ref="D105" authorId="1" shapeId="0" xr:uid="{F8F0D57B-2BF7-44AD-8505-6D9DA4788A91}">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V1</t>
      </text>
    </comment>
    <comment ref="D106" authorId="2" shapeId="0" xr:uid="{768051EE-7670-4870-AD6E-F8E3B75A16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V2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tc={F3642CAB-0DA4-40ED-A023-BAC4E955AEAC}</author>
  </authors>
  <commentList>
    <comment ref="I30" authorId="0" shapeId="0" xr:uid="{F3642CAB-0DA4-40ED-A023-BAC4E955AEA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corresponde con el valor asociado a la frecuencia de corte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tc={5B4A7157-E2C4-4C2E-BDE4-C0AB4C0990E0}</author>
  </authors>
  <commentList>
    <comment ref="J71" authorId="0" shapeId="0" xr:uid="{5B4A7157-E2C4-4C2E-BDE4-C0AB4C0990E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Datos extraídos de la tabla de Alberto ya que en nuestro circuito salía constante 0 ya fuese porque no estaba bien conectado el circuito integrado o porque este estuviese dañado
Respuesta:
    El resto de columnas se corresponden con los datos de nuestro montaje
</t>
      </text>
    </comment>
  </commentList>
</comments>
</file>

<file path=xl/sharedStrings.xml><?xml version="1.0" encoding="utf-8"?>
<sst xmlns="http://schemas.openxmlformats.org/spreadsheetml/2006/main" count="247" uniqueCount="189">
  <si>
    <t>Vi (V)</t>
  </si>
  <si>
    <t>Vi exp (V)</t>
  </si>
  <si>
    <t>Vd exp (V)</t>
  </si>
  <si>
    <t>VR exp (V)</t>
  </si>
  <si>
    <t>I calculada(A)</t>
  </si>
  <si>
    <t>Rexp</t>
  </si>
  <si>
    <t>Vi teo (V)</t>
  </si>
  <si>
    <t>V DS (V)</t>
  </si>
  <si>
    <t>V GS (V)</t>
  </si>
  <si>
    <t>V RG (V)</t>
  </si>
  <si>
    <t>V RD (V)</t>
  </si>
  <si>
    <t>I D (A)</t>
  </si>
  <si>
    <t>Curva exponencial de ajuste</t>
  </si>
  <si>
    <t>Is</t>
  </si>
  <si>
    <t>q/nkT</t>
  </si>
  <si>
    <t>n(T=19 C)</t>
  </si>
  <si>
    <t>4E-20*(e^(22,508Vd)</t>
  </si>
  <si>
    <t>I G (A)</t>
  </si>
  <si>
    <t>Para calcular las intensidades IG y ID aplicaré la ley de Ohm.
Despejo V=I·R  y tengo  I=V/R
En el caso de IG se dará la constante 0 ya que el voltaje en dicha resistencia es siempre 0</t>
  </si>
  <si>
    <t>Para calcular la  intensidad ID aplicaré la ley de Ohm.
Despejo V=I·R  y tengo  I=V/R
Por tanto, Id=Vd/Rd</t>
  </si>
  <si>
    <t>Para calcular la intensidad del circuito sé que la diferencia de potencial en la resistencia es
Vi-V0,  o V0-Vi, ya que no conozco el sentido de la intensidad. Dependerá de qué voltaje
sea mayor. En este caso el voltaje Vi es siempre mayor o igual que V0 por lo que
la diferencia de potencial positiva en la resistencia será Vi-V0. 
Aplicando la ley de Ohm y despejando tendré:
I=(Vi-V0)/R
Otra forma de calcularla sería aplicando directamente la ley de Ohm sobre la resistencia y obtengo:
I=VR/R
Dado que los 3 elementos están en serie, la intensidad que atraviesa la resistencia será la que
atraviese todo el circuito
Para calcular n(T=19ºC) depejaré q/nkT=22,508   y obtendré  n=q/(k·(22,508)·T)
Sustituyendo las constantes obtengo n=1,6·10^(-19)/((1,38·10^(-23)*(22,508)·19)=610,22</t>
  </si>
  <si>
    <t>R1 nom</t>
  </si>
  <si>
    <t>∆R1 nom</t>
  </si>
  <si>
    <t>R</t>
  </si>
  <si>
    <t>R2 nom</t>
  </si>
  <si>
    <t>∆R2 nom</t>
  </si>
  <si>
    <t>R1</t>
  </si>
  <si>
    <t>R2</t>
  </si>
  <si>
    <t>Medida 1</t>
  </si>
  <si>
    <t>Medida 2</t>
  </si>
  <si>
    <t>Medida 3</t>
  </si>
  <si>
    <t>Media</t>
  </si>
  <si>
    <t>R1 exp</t>
  </si>
  <si>
    <t>∆R1 exp</t>
  </si>
  <si>
    <t>R2 exp</t>
  </si>
  <si>
    <t>∆R2 exp</t>
  </si>
  <si>
    <t>¿Concuerda el valor experimental con el valor nominal dado por el fabricante, esto es, está el resultado experimental dentro del intervalo de error?</t>
  </si>
  <si>
    <t>Circuitos</t>
  </si>
  <si>
    <t>RS</t>
  </si>
  <si>
    <t>RP</t>
  </si>
  <si>
    <t>RS teo</t>
  </si>
  <si>
    <t>∆RS teo</t>
  </si>
  <si>
    <t>RP teo</t>
  </si>
  <si>
    <t>∆RP teo</t>
  </si>
  <si>
    <t>Sin redondear</t>
  </si>
  <si>
    <t>Redondeados</t>
  </si>
  <si>
    <t>V (Tensión de la fuente)</t>
  </si>
  <si>
    <t>VAB(Caída de 
tensión en R1)</t>
  </si>
  <si>
    <t>VBC(Caída de 
tensión en R2)</t>
  </si>
  <si>
    <t>VBC/VAB</t>
  </si>
  <si>
    <t>I1</t>
  </si>
  <si>
    <t>I2</t>
  </si>
  <si>
    <t>Calcula el cociente de las resistencias R2/R1 y compáralo con los resultados de la columna VBC/VAB ¿Existe alguna relación entre los mismos? ¿Cuál es la justificación teórica de este hecho?</t>
  </si>
  <si>
    <t>¿En qué resistencia se observa la mayor diferencia de potencial entre sus extremos? Justifica la respuesta.</t>
  </si>
  <si>
    <t>RL</t>
  </si>
  <si>
    <t>VBC</t>
  </si>
  <si>
    <t>A la vista de los resultados experimentales de la tabla anterior, ¿qué relación debe existir entre los valores de R1, R2 y RL para que el divisor de tensión se comporte como un buen divisor? Justifica tu respuesta. Recuerda que un buen divisor es aquel en el que la división de la tensión realizada (valores VAB y VBC) es constante y no se ve alterada al conectarle RL</t>
  </si>
  <si>
    <t>Teniendo en cuenta la repuesta a la pregunta anterior, imagina ahora que dentro de una fuente de tensión real lo que se tiene es un divisor de tensión y que los dos bornes de dicha fuente son los puntos B y C del divisor, por tanto, la resistencia R2 puede considerarse como la resistencia interna de la fuente. Entonces, ¿cómo ha de ser el valor de la resistencia interna de una fuente de tensión real para que la tensión que proporciona no dependa de lo que se conecte a la misma? Justifica la respuesta.</t>
  </si>
  <si>
    <r>
      <t xml:space="preserve">10000 </t>
    </r>
    <r>
      <rPr>
        <sz val="11"/>
        <color theme="1"/>
        <rFont val="Calibri"/>
        <family val="2"/>
      </rPr>
      <t>Ω</t>
    </r>
  </si>
  <si>
    <t>4700 Ω</t>
  </si>
  <si>
    <t>235 Ω (5%)</t>
  </si>
  <si>
    <t>500 Ω (5%)</t>
  </si>
  <si>
    <t>DR1 =  9860-9850 = 10 Ω</t>
  </si>
  <si>
    <t>DR2 = 4600-4590 = 10 Ω</t>
  </si>
  <si>
    <t xml:space="preserve">TR1  = </t>
  </si>
  <si>
    <t>TR2  =</t>
  </si>
  <si>
    <t xml:space="preserve"> </t>
  </si>
  <si>
    <t xml:space="preserve">S = 0,01 kΩ = 10 Ω
Como DR1 ≤ S  y DR2 ≤ S, bastan las 3 medidas </t>
  </si>
  <si>
    <t>9850 Ω</t>
  </si>
  <si>
    <t>10 Ω</t>
  </si>
  <si>
    <t>4600 Ω</t>
  </si>
  <si>
    <t>Intervalo R1: [9840 , 9860] (dentro del intervalo nominal)
Intervalo R2: [4590 , 4610] (dentro del intervalo nominal)
Por lo que sí concuerdan</t>
  </si>
  <si>
    <t>DRS =  1520-1510 = 10 Ω</t>
  </si>
  <si>
    <t>DRP = 3188-3185 = 3 Ω</t>
  </si>
  <si>
    <t xml:space="preserve">S = 0,01 kΩ = 10 Ω (Para el montaje en serie)
S = 1 Ω (Para el montaje en paralelo)
Como DRS ≤ S  y  S ≤ DRP ≤ 2%  , bastan las 3 medidas </t>
  </si>
  <si>
    <t>3186 ± 1 Ω</t>
  </si>
  <si>
    <t>RS = 14510 ± 10 Ω</t>
  </si>
  <si>
    <t>R1 = 9850 ± 10 Ω</t>
  </si>
  <si>
    <t>R2= 4600 ± 10 Ω</t>
  </si>
  <si>
    <t>En la R1 ya que ∆V=I·R y además I=cte y R1&gt;R2 
(directamente proporcional)</t>
  </si>
  <si>
    <t>Ejercicio 1</t>
  </si>
  <si>
    <t>Ejercicio 2</t>
  </si>
  <si>
    <t xml:space="preserve">Ejercicio 3 </t>
  </si>
  <si>
    <t>Ejercicio 4</t>
  </si>
  <si>
    <t>Ejercicio 5</t>
  </si>
  <si>
    <t>Ejercicio 6</t>
  </si>
  <si>
    <t>Ejercicio 7</t>
  </si>
  <si>
    <t>Ejercicio 8</t>
  </si>
  <si>
    <r>
      <t xml:space="preserve">R1/R2 = 2,1413           VBC/VAC </t>
    </r>
    <r>
      <rPr>
        <sz val="11"/>
        <color theme="1"/>
        <rFont val="Calibri"/>
        <family val="2"/>
      </rPr>
      <t>≈ 2,14    son iguales ya que:</t>
    </r>
    <r>
      <rPr>
        <sz val="12.65"/>
        <color theme="1"/>
        <rFont val="Calibri"/>
        <family val="2"/>
      </rPr>
      <t xml:space="preserve">
</t>
    </r>
  </si>
  <si>
    <t>f teo (Hz)</t>
  </si>
  <si>
    <t>f exp (Hz)</t>
  </si>
  <si>
    <t>ꙍ exp (rad/s)</t>
  </si>
  <si>
    <t>|V opp| (V)</t>
  </si>
  <si>
    <t>|V ipp| (V)</t>
  </si>
  <si>
    <t>|V opp|/|V ipp|</t>
  </si>
  <si>
    <t>20·log |V opp|/|V ipp| (dB)</t>
  </si>
  <si>
    <t>Escala natural</t>
  </si>
  <si>
    <t>Escala logarítmica</t>
  </si>
  <si>
    <t>∆y</t>
  </si>
  <si>
    <t>∆x</t>
  </si>
  <si>
    <t>Pendiente</t>
  </si>
  <si>
    <t>C</t>
  </si>
  <si>
    <t>2,025 F</t>
  </si>
  <si>
    <t>Exp</t>
  </si>
  <si>
    <t>Teo</t>
  </si>
  <si>
    <t>2 F</t>
  </si>
  <si>
    <t>1000 Ω</t>
  </si>
  <si>
    <r>
      <t xml:space="preserve">994 </t>
    </r>
    <r>
      <rPr>
        <sz val="11"/>
        <color theme="1"/>
        <rFont val="Calibri"/>
        <family val="2"/>
      </rPr>
      <t>Ω</t>
    </r>
  </si>
  <si>
    <t>Ejercicio 3</t>
  </si>
  <si>
    <r>
      <t xml:space="preserve">14450 </t>
    </r>
    <r>
      <rPr>
        <sz val="11"/>
        <color theme="1"/>
        <rFont val="Calibri"/>
        <family val="2"/>
      </rPr>
      <t>Ω</t>
    </r>
  </si>
  <si>
    <t>20 Ω</t>
  </si>
  <si>
    <t>3135,64 Ω</t>
  </si>
  <si>
    <t>5,66 Ω</t>
  </si>
  <si>
    <t>14450 Ω</t>
  </si>
  <si>
    <t>5 Ω</t>
  </si>
  <si>
    <t>3135 Ω</t>
  </si>
  <si>
    <t xml:space="preserve">R1 </t>
  </si>
  <si>
    <t>V</t>
  </si>
  <si>
    <t>R3</t>
  </si>
  <si>
    <t>RL1</t>
  </si>
  <si>
    <t>RL2</t>
  </si>
  <si>
    <t>RL3</t>
  </si>
  <si>
    <t>4,7 kΩ</t>
  </si>
  <si>
    <t>10 kΩ</t>
  </si>
  <si>
    <t>15 kΩ</t>
  </si>
  <si>
    <t>1 MΩ</t>
  </si>
  <si>
    <t>Datos</t>
  </si>
  <si>
    <r>
      <t xml:space="preserve">4,62 </t>
    </r>
    <r>
      <rPr>
        <sz val="11"/>
        <color theme="1"/>
        <rFont val="Calibri"/>
        <family val="2"/>
      </rPr>
      <t>±</t>
    </r>
    <r>
      <rPr>
        <sz val="11"/>
        <color theme="1"/>
        <rFont val="Calibri"/>
        <family val="2"/>
        <scheme val="minor"/>
      </rPr>
      <t xml:space="preserve">  0,01 kΩ</t>
    </r>
  </si>
  <si>
    <t>5 V</t>
  </si>
  <si>
    <t>3,41 V</t>
  </si>
  <si>
    <t>Estos son los datos que había en la pizarra con los que 
extrajimos el código de colores para poder elegir las 
resistencias adecuadas para los circuitos</t>
  </si>
  <si>
    <t>3,40 V</t>
  </si>
  <si>
    <t>1,3 Ω</t>
  </si>
  <si>
    <t>1mV</t>
  </si>
  <si>
    <t>2,035 V</t>
  </si>
  <si>
    <t>En Serie</t>
  </si>
  <si>
    <t>En Paralelo</t>
  </si>
  <si>
    <t>RL debe ser mucho mayor que R1 y R2 para que se 
comporte como un buen divisor (VAB=cte)</t>
  </si>
  <si>
    <t>Debe ser muy pequeña para que cualquier resistencia conectada a los bornes sea 
mucho mayor que la resistencia interna (para que sea un buen divisor)</t>
  </si>
  <si>
    <t>Equivalente Thevenin</t>
  </si>
  <si>
    <t>9,90 ±  0,01 kΩ</t>
  </si>
  <si>
    <t>Para el cálculo de Rth tendremos que 
anular todas las fuentes de tensión y
corriente y calcular la resistencia 
equivalente entre los puntos B y C.
 En este caso la Resistencia total se calcula sabiendo que R1 y R2 están asociadas en paralelo y por lo tanto:</t>
  </si>
  <si>
    <t>Para el cálculo de Vth tendremos que resolver el sistema original y calcular la diferencia de potencial entre los puntos B y C. Teniendo en cuenta que R1 y R2 están en serie y aplicando la Ley de Ohm:</t>
  </si>
  <si>
    <t>Principio de Superposición</t>
  </si>
  <si>
    <t>Circuito 3.6</t>
  </si>
  <si>
    <t>VAB</t>
  </si>
  <si>
    <t>VAB (1)</t>
  </si>
  <si>
    <t>VAB (2)</t>
  </si>
  <si>
    <t>V1</t>
  </si>
  <si>
    <t>V2</t>
  </si>
  <si>
    <t>7 V</t>
  </si>
  <si>
    <r>
      <t>4,62 k</t>
    </r>
    <r>
      <rPr>
        <sz val="11"/>
        <color theme="1"/>
        <rFont val="Calibri"/>
        <family val="2"/>
      </rPr>
      <t>Ω</t>
    </r>
  </si>
  <si>
    <t>9,90 kΩ</t>
  </si>
  <si>
    <t>0 V</t>
  </si>
  <si>
    <t>6,89 V</t>
  </si>
  <si>
    <t>Dado que VAB (1)+ VAB (2) = VAB 
podemos confirmar que se cumple el 
principio de superposición</t>
  </si>
  <si>
    <t>Circuito 3.5</t>
  </si>
  <si>
    <t>Cálculo de la Pendiente</t>
  </si>
  <si>
    <t>Circuito 4.18</t>
  </si>
  <si>
    <t>Circuito 5.2</t>
  </si>
  <si>
    <t>Pendiente tramo 1</t>
  </si>
  <si>
    <t>Coeficiente de correlación tramo 1</t>
  </si>
  <si>
    <t>Pendiente tramo 2</t>
  </si>
  <si>
    <t>Coeficiente de correlación tramo 2</t>
  </si>
  <si>
    <t>Tensión de cambio de tramo</t>
  </si>
  <si>
    <t>1,617 V</t>
  </si>
  <si>
    <t>¿Coinciden los valores calculados de la intensidad de puerta con los
esperados teóricamente?</t>
  </si>
  <si>
    <t xml:space="preserve">Sí ya que </t>
  </si>
  <si>
    <t>Vth (V)</t>
  </si>
  <si>
    <t>µnCox W/L (A/V^2)</t>
  </si>
  <si>
    <t>Coeficiente de correlación de ajuste</t>
  </si>
  <si>
    <t>0,5V</t>
  </si>
  <si>
    <t>VGS</t>
  </si>
  <si>
    <t>VT</t>
  </si>
  <si>
    <t>k</t>
  </si>
  <si>
    <t>Sustituyendo con los valores de VGS y considerando VT el punto en el que empieza a formarse el canal (0,5V aprox) obtenemos un valor de K más o menos constante (Tabla derecha)</t>
  </si>
  <si>
    <r>
      <t>RD (</t>
    </r>
    <r>
      <rPr>
        <sz val="11"/>
        <color theme="1"/>
        <rFont val="Calibri"/>
        <family val="2"/>
      </rPr>
      <t>Ω</t>
    </r>
    <r>
      <rPr>
        <sz val="12.65"/>
        <color theme="1"/>
        <rFont val="Calibri"/>
        <family val="2"/>
      </rPr>
      <t>)</t>
    </r>
  </si>
  <si>
    <t>RG (Ω)</t>
  </si>
  <si>
    <t>En saturación tenemos la ecuación: 
Por lo tanto despejando k, sabiendo que VGS=-VSG y que Id=0,0027VGS-0,0026</t>
  </si>
  <si>
    <t>Alumnos que han realizado esta memoria de prácticas de laboratorio</t>
  </si>
  <si>
    <t>Nombre</t>
  </si>
  <si>
    <t>Apellidos</t>
  </si>
  <si>
    <t>Grupo</t>
  </si>
  <si>
    <t>Alison</t>
  </si>
  <si>
    <t>Carvajal Paulino</t>
  </si>
  <si>
    <t>A2</t>
  </si>
  <si>
    <t>Jesús</t>
  </si>
  <si>
    <t>Muñoz Velasco</t>
  </si>
  <si>
    <t>En cada una de las hojas siguientes encontrará cada una de las fichas
relativas a cada sesión de Prácticas realizada en el laboratorio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</si>
</sst>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9" x14ac:knownFonts="1">
    <font>
      <sz val="11"/>
      <color theme="1"/>
      <name val="Calibri"/>
      <family val="2"/>
      <scheme val="minor"/>
    </font>
    <font>
      <sz val="8"/>
      <name val="Calibri"/>
      <family val="2"/>
      <scheme val="minor"/>
    </font>
    <font>
      <sz val="16"/>
      <color theme="1"/>
      <name val="Calibri"/>
      <family val="2"/>
      <scheme val="minor"/>
    </font>
    <font>
      <u/>
      <sz val="11"/>
      <color theme="1"/>
      <name val="Calibri"/>
      <family val="2"/>
      <scheme val="minor"/>
    </font>
    <font>
      <sz val="11"/>
      <color theme="1"/>
      <name val="Calibri"/>
      <family val="2"/>
    </font>
    <font>
      <sz val="12.65"/>
      <color theme="1"/>
      <name val="Calibri"/>
      <family val="2"/>
    </font>
    <font>
      <sz val="9"/>
      <color indexed="81"/>
      <name val="Tahoma"/>
      <family val="2"/>
    </font>
    <font>
      <sz val="14"/>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rgb="FFE2C4A6"/>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399975585192419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288">
    <xf numFmtId="0" fontId="0" fillId="0" borderId="0" xfId="0"/>
    <xf numFmtId="0" fontId="0" fillId="0" borderId="0" xfId="0" applyAlignment="1">
      <alignment horizontal="center" vertical="center"/>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0" xfId="0" applyFill="1" applyBorder="1"/>
    <xf numFmtId="0" fontId="0" fillId="0" borderId="0" xfId="0" applyAlignment="1">
      <alignment horizontal="center"/>
    </xf>
    <xf numFmtId="0" fontId="0" fillId="0" borderId="3" xfId="0" applyBorder="1"/>
    <xf numFmtId="0" fontId="0" fillId="0" borderId="4" xfId="0" applyBorder="1"/>
    <xf numFmtId="0" fontId="0" fillId="0" borderId="10"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0" xfId="0" applyFill="1" applyBorder="1" applyAlignment="1">
      <alignment horizontal="center"/>
    </xf>
    <xf numFmtId="11" fontId="0" fillId="0" borderId="11" xfId="0" applyNumberFormat="1" applyBorder="1"/>
    <xf numFmtId="0" fontId="0" fillId="0" borderId="0" xfId="0" applyBorder="1" applyAlignment="1">
      <alignment horizontal="center"/>
    </xf>
    <xf numFmtId="0" fontId="0" fillId="0" borderId="8" xfId="0" applyFill="1" applyBorder="1"/>
    <xf numFmtId="0" fontId="0" fillId="0" borderId="2" xfId="0" applyBorder="1"/>
    <xf numFmtId="0" fontId="0" fillId="0" borderId="3" xfId="0" applyFill="1" applyBorder="1"/>
    <xf numFmtId="0" fontId="0" fillId="0" borderId="3" xfId="0" applyNumberFormat="1" applyBorder="1"/>
    <xf numFmtId="0" fontId="0" fillId="0" borderId="0" xfId="0" applyNumberFormat="1" applyBorder="1"/>
    <xf numFmtId="0" fontId="0" fillId="0" borderId="8" xfId="0" applyNumberFormat="1" applyBorder="1"/>
    <xf numFmtId="0" fontId="0" fillId="0" borderId="0" xfId="0" applyFill="1"/>
    <xf numFmtId="11" fontId="0" fillId="0" borderId="0" xfId="0" applyNumberFormat="1" applyFill="1" applyBorder="1"/>
    <xf numFmtId="0" fontId="0" fillId="0" borderId="0" xfId="0" applyBorder="1" applyAlignment="1">
      <alignment vertical="top"/>
    </xf>
    <xf numFmtId="0" fontId="0" fillId="0" borderId="0" xfId="0" applyBorder="1" applyAlignment="1">
      <alignment horizontal="center" vertical="center" wrapText="1"/>
    </xf>
    <xf numFmtId="11" fontId="0" fillId="0" borderId="11" xfId="0" applyNumberFormat="1" applyBorder="1" applyAlignment="1">
      <alignment horizontal="right"/>
    </xf>
    <xf numFmtId="0" fontId="0" fillId="0" borderId="11" xfId="0" applyBorder="1" applyAlignment="1">
      <alignment horizontal="right"/>
    </xf>
    <xf numFmtId="0" fontId="3" fillId="0" borderId="0" xfId="0" applyFont="1"/>
    <xf numFmtId="0" fontId="0" fillId="0" borderId="0" xfId="0"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7" xfId="0" applyBorder="1"/>
    <xf numFmtId="0" fontId="0" fillId="0" borderId="9" xfId="0" applyBorder="1"/>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0" xfId="0" applyAlignment="1">
      <alignment vertical="center"/>
    </xf>
    <xf numFmtId="0" fontId="0" fillId="0" borderId="14" xfId="0" applyBorder="1" applyAlignment="1">
      <alignment horizontal="center" vertical="center"/>
    </xf>
    <xf numFmtId="0" fontId="0" fillId="0" borderId="14" xfId="0"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0" borderId="0" xfId="0" applyBorder="1" applyAlignment="1">
      <alignment horizontal="center"/>
    </xf>
    <xf numFmtId="0" fontId="0" fillId="0" borderId="5" xfId="0" applyBorder="1"/>
    <xf numFmtId="0" fontId="0" fillId="0" borderId="6" xfId="0" applyBorder="1"/>
    <xf numFmtId="0" fontId="0" fillId="4" borderId="11" xfId="0" applyFill="1" applyBorder="1"/>
    <xf numFmtId="0" fontId="0" fillId="0" borderId="3" xfId="0" applyBorder="1" applyAlignment="1">
      <alignment horizontal="center" vertical="center"/>
    </xf>
    <xf numFmtId="0" fontId="0" fillId="0" borderId="1" xfId="0" applyBorder="1" applyAlignment="1">
      <alignment horizontal="center" vertical="center"/>
    </xf>
    <xf numFmtId="2" fontId="0" fillId="0" borderId="15" xfId="0" applyNumberFormat="1" applyBorder="1" applyAlignment="1">
      <alignment horizontal="center"/>
    </xf>
    <xf numFmtId="2" fontId="0" fillId="0" borderId="11" xfId="0" applyNumberFormat="1" applyBorder="1" applyAlignment="1">
      <alignment horizontal="center"/>
    </xf>
    <xf numFmtId="0" fontId="0" fillId="0" borderId="0" xfId="0" applyBorder="1" applyAlignment="1">
      <alignment vertical="center"/>
    </xf>
    <xf numFmtId="0" fontId="0" fillId="0" borderId="0"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xf>
    <xf numFmtId="0" fontId="0" fillId="3" borderId="3" xfId="0" applyFill="1" applyBorder="1" applyAlignment="1">
      <alignment horizontal="center" vertical="center"/>
    </xf>
    <xf numFmtId="11" fontId="0" fillId="0" borderId="3" xfId="0" applyNumberFormat="1" applyBorder="1" applyAlignment="1">
      <alignment horizontal="center" vertical="center"/>
    </xf>
    <xf numFmtId="11" fontId="0" fillId="0" borderId="0" xfId="0" applyNumberFormat="1" applyBorder="1" applyAlignment="1">
      <alignment horizontal="center" vertical="center"/>
    </xf>
    <xf numFmtId="11" fontId="0" fillId="0" borderId="4" xfId="0" applyNumberFormat="1" applyBorder="1" applyAlignment="1">
      <alignment horizontal="center" vertical="center"/>
    </xf>
    <xf numFmtId="11" fontId="0" fillId="0" borderId="6" xfId="0" applyNumberFormat="1" applyBorder="1" applyAlignment="1">
      <alignment horizontal="center" vertical="center"/>
    </xf>
    <xf numFmtId="11" fontId="0" fillId="0" borderId="9" xfId="0" applyNumberFormat="1" applyBorder="1" applyAlignment="1">
      <alignment horizontal="center" vertical="center"/>
    </xf>
    <xf numFmtId="0" fontId="0" fillId="3" borderId="4" xfId="0" applyFill="1" applyBorder="1" applyAlignment="1">
      <alignment horizontal="center" vertical="center"/>
    </xf>
    <xf numFmtId="11" fontId="0" fillId="0" borderId="8" xfId="0" applyNumberFormat="1" applyBorder="1" applyAlignment="1">
      <alignment horizontal="center" vertical="center"/>
    </xf>
    <xf numFmtId="0" fontId="2" fillId="0" borderId="0" xfId="0" applyFont="1" applyBorder="1" applyAlignment="1">
      <alignment horizontal="center" vertical="center" textRotation="90"/>
    </xf>
    <xf numFmtId="3" fontId="0" fillId="0" borderId="0" xfId="0" applyNumberFormat="1"/>
    <xf numFmtId="0" fontId="0" fillId="3" borderId="1" xfId="0" applyFill="1" applyBorder="1" applyAlignment="1">
      <alignment horizontal="center" vertical="center"/>
    </xf>
    <xf numFmtId="3" fontId="0" fillId="3" borderId="12" xfId="0" applyNumberFormat="1" applyFill="1" applyBorder="1" applyAlignment="1">
      <alignment horizontal="center" vertical="center"/>
    </xf>
    <xf numFmtId="0" fontId="0" fillId="3" borderId="7" xfId="0" applyFill="1" applyBorder="1" applyAlignment="1">
      <alignment horizontal="center" vertical="center"/>
    </xf>
    <xf numFmtId="0" fontId="0" fillId="3" borderId="2" xfId="0" applyFill="1" applyBorder="1" applyAlignment="1">
      <alignment horizontal="center" vertical="center"/>
    </xf>
    <xf numFmtId="0" fontId="0" fillId="0" borderId="0" xfId="0" applyFill="1" applyBorder="1" applyAlignment="1">
      <alignment horizontal="center" vertical="center"/>
    </xf>
    <xf numFmtId="0" fontId="7" fillId="0" borderId="0" xfId="0" applyFont="1" applyBorder="1" applyAlignment="1">
      <alignment horizontal="center" textRotation="90"/>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12" xfId="0" applyFill="1" applyBorder="1" applyAlignment="1">
      <alignment horizontal="center"/>
    </xf>
    <xf numFmtId="0" fontId="0" fillId="3" borderId="14" xfId="0" applyFill="1" applyBorder="1" applyAlignment="1">
      <alignment horizontal="center"/>
    </xf>
    <xf numFmtId="0" fontId="2" fillId="2" borderId="10" xfId="0" applyFont="1" applyFill="1" applyBorder="1" applyAlignment="1">
      <alignment horizontal="center" vertical="center" textRotation="90"/>
    </xf>
    <xf numFmtId="0" fontId="2" fillId="2" borderId="15" xfId="0" applyFont="1" applyFill="1" applyBorder="1" applyAlignment="1">
      <alignment horizontal="center" vertical="center" textRotation="90"/>
    </xf>
    <xf numFmtId="0" fontId="2" fillId="2" borderId="11" xfId="0" applyFont="1" applyFill="1" applyBorder="1" applyAlignment="1">
      <alignment horizontal="center" vertical="center" textRotation="90"/>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xf>
    <xf numFmtId="0" fontId="0" fillId="0" borderId="0" xfId="0" applyBorder="1" applyAlignment="1">
      <alignment horizontal="center" vertical="center"/>
    </xf>
    <xf numFmtId="0" fontId="0" fillId="0" borderId="8" xfId="0" applyBorder="1" applyAlignment="1">
      <alignment horizontal="center" vertical="center"/>
    </xf>
    <xf numFmtId="0" fontId="0" fillId="5" borderId="2" xfId="0" applyFill="1" applyBorder="1" applyAlignment="1">
      <alignment horizontal="center" vertical="top" wrapText="1"/>
    </xf>
    <xf numFmtId="0" fontId="0" fillId="5" borderId="3" xfId="0" applyFill="1" applyBorder="1" applyAlignment="1">
      <alignment horizontal="center" vertical="top"/>
    </xf>
    <xf numFmtId="0" fontId="0" fillId="5" borderId="4" xfId="0" applyFill="1" applyBorder="1" applyAlignment="1">
      <alignment horizontal="center" vertical="top"/>
    </xf>
    <xf numFmtId="0" fontId="0" fillId="5" borderId="7" xfId="0" applyFill="1" applyBorder="1" applyAlignment="1">
      <alignment horizontal="center" vertical="top"/>
    </xf>
    <xf numFmtId="0" fontId="0" fillId="5" borderId="8" xfId="0" applyFill="1" applyBorder="1" applyAlignment="1">
      <alignment horizontal="center" vertical="top"/>
    </xf>
    <xf numFmtId="0" fontId="0" fillId="5" borderId="9" xfId="0" applyFill="1" applyBorder="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3" borderId="3" xfId="0" applyFill="1"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0" fillId="0" borderId="5" xfId="0" applyBorder="1"/>
    <xf numFmtId="0" fontId="0" fillId="0" borderId="6" xfId="0" applyBorder="1"/>
    <xf numFmtId="0" fontId="0" fillId="0" borderId="0"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3" borderId="13"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0" xfId="0" applyBorder="1" applyAlignment="1"/>
    <xf numFmtId="0" fontId="0" fillId="0" borderId="1" xfId="0" applyBorder="1"/>
    <xf numFmtId="0" fontId="0" fillId="3" borderId="12" xfId="0" applyFill="1" applyBorder="1"/>
    <xf numFmtId="0" fontId="2" fillId="2" borderId="10" xfId="0" applyFont="1" applyFill="1" applyBorder="1" applyAlignment="1">
      <alignment horizontal="center" textRotation="90"/>
    </xf>
    <xf numFmtId="0" fontId="2" fillId="2" borderId="15" xfId="0" applyFont="1" applyFill="1" applyBorder="1" applyAlignment="1">
      <alignment horizontal="center" textRotation="90"/>
    </xf>
    <xf numFmtId="0" fontId="2" fillId="2" borderId="11" xfId="0" applyFont="1" applyFill="1" applyBorder="1" applyAlignment="1">
      <alignment horizontal="center" textRotation="90"/>
    </xf>
    <xf numFmtId="0" fontId="0" fillId="4" borderId="10" xfId="0" applyFill="1" applyBorder="1"/>
    <xf numFmtId="0" fontId="0" fillId="4" borderId="1" xfId="0" applyFill="1" applyBorder="1"/>
    <xf numFmtId="0" fontId="0" fillId="0" borderId="2" xfId="0" applyBorder="1" applyAlignment="1">
      <alignment horizontal="center" wrapText="1"/>
    </xf>
    <xf numFmtId="0" fontId="0" fillId="0" borderId="5" xfId="0" applyBorder="1" applyAlignment="1">
      <alignment horizontal="center" wrapText="1"/>
    </xf>
    <xf numFmtId="0" fontId="0" fillId="0" borderId="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0" xfId="0" applyFont="1" applyFill="1" applyBorder="1" applyAlignment="1">
      <alignment horizontal="center" textRotation="90"/>
    </xf>
    <xf numFmtId="0" fontId="0" fillId="0" borderId="6" xfId="0" applyBorder="1" applyAlignment="1">
      <alignment horizontal="center" vertical="center"/>
    </xf>
    <xf numFmtId="0" fontId="0" fillId="3" borderId="7" xfId="0" applyFill="1" applyBorder="1" applyAlignment="1">
      <alignment horizontal="center"/>
    </xf>
    <xf numFmtId="0" fontId="0" fillId="3" borderId="11"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3" borderId="10" xfId="0" applyFont="1" applyFill="1" applyBorder="1" applyAlignment="1">
      <alignment horizontal="center" vertical="center" textRotation="90"/>
    </xf>
    <xf numFmtId="0" fontId="2" fillId="3" borderId="15" xfId="0" applyFont="1" applyFill="1" applyBorder="1" applyAlignment="1">
      <alignment horizontal="center" vertical="center" textRotation="90"/>
    </xf>
    <xf numFmtId="0" fontId="2" fillId="3" borderId="11" xfId="0" applyFont="1" applyFill="1" applyBorder="1" applyAlignment="1">
      <alignment horizontal="center" vertical="center" textRotation="90"/>
    </xf>
    <xf numFmtId="0" fontId="0" fillId="0" borderId="0" xfId="0" applyBorder="1" applyAlignment="1">
      <alignment vertical="center" wrapText="1"/>
    </xf>
    <xf numFmtId="0" fontId="0" fillId="0" borderId="3"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0"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2" xfId="0" applyBorder="1" applyAlignment="1">
      <alignment horizontal="center" vertical="top" wrapText="1"/>
    </xf>
    <xf numFmtId="0" fontId="0" fillId="0" borderId="2" xfId="0" applyBorder="1" applyAlignment="1">
      <alignment horizontal="left" vertical="top" wrapText="1" indent="1"/>
    </xf>
    <xf numFmtId="0" fontId="0" fillId="0" borderId="3" xfId="0" applyBorder="1" applyAlignment="1">
      <alignment horizontal="left" vertical="top" indent="1"/>
    </xf>
    <xf numFmtId="0" fontId="0" fillId="0" borderId="4" xfId="0" applyBorder="1" applyAlignment="1">
      <alignment horizontal="left" vertical="top" indent="1"/>
    </xf>
    <xf numFmtId="0" fontId="0" fillId="0" borderId="5" xfId="0" applyBorder="1" applyAlignment="1">
      <alignment horizontal="left" vertical="top" indent="1"/>
    </xf>
    <xf numFmtId="0" fontId="0" fillId="0" borderId="0" xfId="0" applyBorder="1" applyAlignment="1">
      <alignment horizontal="left" vertical="top" indent="1"/>
    </xf>
    <xf numFmtId="0" fontId="0" fillId="0" borderId="6" xfId="0" applyBorder="1" applyAlignment="1">
      <alignment horizontal="left" vertical="top" indent="1"/>
    </xf>
    <xf numFmtId="0" fontId="0" fillId="0" borderId="7" xfId="0" applyBorder="1" applyAlignment="1">
      <alignment horizontal="left" vertical="top" indent="1"/>
    </xf>
    <xf numFmtId="0" fontId="0" fillId="0" borderId="8" xfId="0" applyBorder="1" applyAlignment="1">
      <alignment horizontal="left" vertical="top" indent="1"/>
    </xf>
    <xf numFmtId="0" fontId="0" fillId="0" borderId="9" xfId="0" applyBorder="1" applyAlignment="1">
      <alignment horizontal="left" vertical="top" indent="1"/>
    </xf>
    <xf numFmtId="0" fontId="0" fillId="3" borderId="1" xfId="0" applyFill="1" applyBorder="1"/>
    <xf numFmtId="0" fontId="0" fillId="3" borderId="11" xfId="0" applyFill="1" applyBorder="1"/>
    <xf numFmtId="0" fontId="0" fillId="3" borderId="14" xfId="0" applyFill="1" applyBorder="1"/>
    <xf numFmtId="0" fontId="0" fillId="0" borderId="14" xfId="0" applyFill="1" applyBorder="1"/>
    <xf numFmtId="0" fontId="0" fillId="3" borderId="10" xfId="0" applyFill="1" applyBorder="1"/>
    <xf numFmtId="0" fontId="2" fillId="0" borderId="0" xfId="0" applyFont="1" applyFill="1" applyBorder="1" applyAlignment="1">
      <alignment vertical="center" textRotation="90"/>
    </xf>
    <xf numFmtId="0" fontId="2" fillId="3" borderId="10" xfId="0" applyFont="1" applyFill="1" applyBorder="1" applyAlignment="1">
      <alignment horizontal="center" vertical="center" textRotation="90" wrapText="1"/>
    </xf>
    <xf numFmtId="0" fontId="2" fillId="3" borderId="15" xfId="0" applyFont="1" applyFill="1" applyBorder="1" applyAlignment="1">
      <alignment horizontal="center" vertical="center" textRotation="90" wrapText="1"/>
    </xf>
    <xf numFmtId="0" fontId="2" fillId="3" borderId="11" xfId="0" applyFont="1" applyFill="1" applyBorder="1" applyAlignment="1">
      <alignment horizontal="center" vertical="center" textRotation="90" wrapText="1"/>
    </xf>
    <xf numFmtId="0" fontId="0" fillId="3" borderId="10" xfId="0" applyFill="1" applyBorder="1" applyAlignment="1">
      <alignment horizontal="center" vertical="center"/>
    </xf>
    <xf numFmtId="0" fontId="0" fillId="3" borderId="10" xfId="0" applyFill="1" applyBorder="1" applyAlignment="1">
      <alignment horizontal="center"/>
    </xf>
    <xf numFmtId="164" fontId="0" fillId="0" borderId="10" xfId="0" applyNumberFormat="1" applyBorder="1"/>
    <xf numFmtId="3" fontId="0" fillId="0" borderId="15" xfId="0" applyNumberFormat="1" applyBorder="1"/>
    <xf numFmtId="0" fontId="0" fillId="3" borderId="5" xfId="0" applyFill="1" applyBorder="1" applyAlignment="1">
      <alignment horizontal="center"/>
    </xf>
    <xf numFmtId="0" fontId="0" fillId="3" borderId="13" xfId="0" applyFill="1" applyBorder="1"/>
    <xf numFmtId="3" fontId="0" fillId="0" borderId="2" xfId="0" applyNumberFormat="1" applyBorder="1" applyAlignment="1">
      <alignment horizontal="center"/>
    </xf>
    <xf numFmtId="3" fontId="0" fillId="0" borderId="3"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3" fontId="0" fillId="0" borderId="0" xfId="0" applyNumberFormat="1" applyBorder="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0" fillId="0" borderId="8" xfId="0" applyNumberFormat="1" applyBorder="1" applyAlignment="1">
      <alignment horizontal="center"/>
    </xf>
    <xf numFmtId="3" fontId="0" fillId="0" borderId="9" xfId="0" applyNumberFormat="1" applyBorder="1" applyAlignment="1">
      <alignment horizont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9" xfId="0" applyBorder="1" applyAlignment="1">
      <alignment horizontal="right"/>
    </xf>
    <xf numFmtId="0" fontId="0" fillId="0" borderId="7" xfId="0" applyBorder="1" applyAlignment="1">
      <alignment horizontal="right"/>
    </xf>
    <xf numFmtId="0" fontId="2" fillId="0" borderId="0" xfId="0" applyFont="1" applyFill="1" applyBorder="1" applyAlignment="1">
      <alignment horizontal="center" vertical="center" textRotation="90"/>
    </xf>
    <xf numFmtId="0" fontId="0" fillId="0" borderId="5" xfId="0" applyFill="1" applyBorder="1"/>
    <xf numFmtId="0" fontId="0" fillId="0" borderId="7" xfId="0" applyFill="1" applyBorder="1"/>
    <xf numFmtId="0" fontId="0" fillId="0" borderId="12" xfId="0" applyBorder="1"/>
    <xf numFmtId="0" fontId="0" fillId="0" borderId="14" xfId="0" applyBorder="1"/>
    <xf numFmtId="0" fontId="0" fillId="0" borderId="2" xfId="0" applyBorder="1"/>
    <xf numFmtId="0" fontId="0" fillId="0" borderId="4" xfId="0" applyBorder="1"/>
    <xf numFmtId="0" fontId="0" fillId="3" borderId="5" xfId="0" applyFill="1" applyBorder="1" applyAlignment="1">
      <alignment horizontal="center" vertical="center"/>
    </xf>
    <xf numFmtId="0" fontId="0" fillId="3" borderId="0" xfId="0" applyFill="1" applyBorder="1" applyAlignment="1">
      <alignment horizontal="center" vertical="center"/>
    </xf>
    <xf numFmtId="0" fontId="0" fillId="3" borderId="6" xfId="0" applyFill="1" applyBorder="1" applyAlignment="1">
      <alignment horizontal="center" vertical="center"/>
    </xf>
    <xf numFmtId="3" fontId="0" fillId="0" borderId="5" xfId="0" applyNumberFormat="1" applyBorder="1" applyAlignment="1">
      <alignment horizontal="right" vertical="center"/>
    </xf>
    <xf numFmtId="0" fontId="0" fillId="0" borderId="0" xfId="0" applyAlignment="1">
      <alignment horizontal="right" vertical="center"/>
    </xf>
    <xf numFmtId="0" fontId="0" fillId="0" borderId="6" xfId="0" applyBorder="1" applyAlignment="1">
      <alignment horizontal="right" vertical="center"/>
    </xf>
    <xf numFmtId="0" fontId="0" fillId="6" borderId="1" xfId="0" applyFill="1" applyBorder="1" applyAlignment="1">
      <alignment horizontal="right" vertical="center"/>
    </xf>
    <xf numFmtId="3" fontId="0" fillId="0" borderId="7" xfId="0" applyNumberFormat="1" applyBorder="1" applyAlignment="1">
      <alignment horizontal="right" vertical="center"/>
    </xf>
    <xf numFmtId="3" fontId="0" fillId="0" borderId="8" xfId="0" applyNumberFormat="1"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0" xfId="0" applyAlignment="1"/>
    <xf numFmtId="0" fontId="2" fillId="0" borderId="0" xfId="0" applyFont="1" applyFill="1" applyBorder="1" applyAlignment="1">
      <alignment vertical="center"/>
    </xf>
    <xf numFmtId="0" fontId="4" fillId="3" borderId="12" xfId="0" applyFont="1" applyFill="1" applyBorder="1" applyAlignment="1">
      <alignment horizontal="center" vertical="center"/>
    </xf>
    <xf numFmtId="0" fontId="4" fillId="3" borderId="14" xfId="0" applyFont="1" applyFill="1" applyBorder="1" applyAlignment="1">
      <alignment horizontal="center" vertical="center"/>
    </xf>
    <xf numFmtId="0" fontId="0" fillId="0" borderId="13" xfId="0"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0" fillId="7" borderId="0" xfId="0" applyFill="1"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9966FF"/>
      <color rgb="FFE2C4A6"/>
      <color rgb="FFEB752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[1]Hoja3!$D$3:$D$22</c:f>
              <c:strCache>
                <c:ptCount val="1"/>
                <c:pt idx="0">
                  <c:v>628,3185307 1256,637061 1884,955592 3141,592654 5026,548246 6283,185307 12566,37061 31415,92654 50265,48246 62831,85307 125663,7061 188495,5592 314159,2654 502654,8246 628318,5307 125663,7061 1884955,592 3141592,654 5026548,246 6283185,307</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[1]Hoja3!$B$3:$B$22</c:f>
              <c:numCache>
                <c:formatCode>General</c:formatCode>
                <c:ptCount val="20"/>
                <c:pt idx="0">
                  <c:v>100</c:v>
                </c:pt>
                <c:pt idx="1">
                  <c:v>200</c:v>
                </c:pt>
                <c:pt idx="2">
                  <c:v>300</c:v>
                </c:pt>
                <c:pt idx="3">
                  <c:v>500</c:v>
                </c:pt>
                <c:pt idx="4">
                  <c:v>800</c:v>
                </c:pt>
                <c:pt idx="5">
                  <c:v>1000</c:v>
                </c:pt>
                <c:pt idx="6">
                  <c:v>2000</c:v>
                </c:pt>
                <c:pt idx="7">
                  <c:v>5000</c:v>
                </c:pt>
                <c:pt idx="8">
                  <c:v>8000</c:v>
                </c:pt>
                <c:pt idx="9">
                  <c:v>10000</c:v>
                </c:pt>
                <c:pt idx="10">
                  <c:v>20000</c:v>
                </c:pt>
                <c:pt idx="11">
                  <c:v>30000</c:v>
                </c:pt>
                <c:pt idx="12">
                  <c:v>50000</c:v>
                </c:pt>
                <c:pt idx="13">
                  <c:v>80000</c:v>
                </c:pt>
                <c:pt idx="14">
                  <c:v>100000</c:v>
                </c:pt>
                <c:pt idx="15">
                  <c:v>200000</c:v>
                </c:pt>
                <c:pt idx="16">
                  <c:v>300000</c:v>
                </c:pt>
                <c:pt idx="17">
                  <c:v>500000</c:v>
                </c:pt>
                <c:pt idx="18">
                  <c:v>800000</c:v>
                </c:pt>
                <c:pt idx="19">
                  <c:v>1000000</c:v>
                </c:pt>
              </c:numCache>
            </c:numRef>
          </c:xVal>
          <c:yVal>
            <c:numRef>
              <c:f>[1]Hoja3!$H$3:$H$22</c:f>
              <c:numCache>
                <c:formatCode>General</c:formatCode>
                <c:ptCount val="20"/>
                <c:pt idx="0">
                  <c:v>0</c:v>
                </c:pt>
                <c:pt idx="1">
                  <c:v>0</c:v>
                </c:pt>
                <c:pt idx="2">
                  <c:v>0</c:v>
                </c:pt>
                <c:pt idx="3">
                  <c:v>0</c:v>
                </c:pt>
                <c:pt idx="4">
                  <c:v>0</c:v>
                </c:pt>
                <c:pt idx="5">
                  <c:v>0</c:v>
                </c:pt>
                <c:pt idx="6">
                  <c:v>0</c:v>
                </c:pt>
                <c:pt idx="7">
                  <c:v>0</c:v>
                </c:pt>
                <c:pt idx="8">
                  <c:v>-8.4741058865093824E-2</c:v>
                </c:pt>
                <c:pt idx="9">
                  <c:v>-8.4741058865093824E-2</c:v>
                </c:pt>
                <c:pt idx="10">
                  <c:v>-0.25674449410344496</c:v>
                </c:pt>
                <c:pt idx="11">
                  <c:v>-0.70944636324437749</c:v>
                </c:pt>
                <c:pt idx="12">
                  <c:v>-1.6864177140007173</c:v>
                </c:pt>
                <c:pt idx="13">
                  <c:v>-3.0980391997148637</c:v>
                </c:pt>
                <c:pt idx="14">
                  <c:v>-4.5829597671571145</c:v>
                </c:pt>
                <c:pt idx="15">
                  <c:v>-8.1787078594700162</c:v>
                </c:pt>
                <c:pt idx="16">
                  <c:v>-10.611311478932572</c:v>
                </c:pt>
                <c:pt idx="17">
                  <c:v>-13.979400086720377</c:v>
                </c:pt>
                <c:pt idx="18">
                  <c:v>-17.27560505964022</c:v>
                </c:pt>
                <c:pt idx="19">
                  <c:v>-19.554472105776956</c:v>
                </c:pt>
              </c:numCache>
            </c:numRef>
          </c:yVal>
          <c:smooth val="0"/>
          <c:extLst>
            <c:ext xmlns:c16="http://schemas.microsoft.com/office/drawing/2014/chart" uri="{C3380CC4-5D6E-409C-BE32-E72D297353CC}">
              <c16:uniqueId val="{00000000-7F57-4863-ADDE-FD3EE5263FBF}"/>
            </c:ext>
          </c:extLst>
        </c:ser>
        <c:ser>
          <c:idx val="0"/>
          <c:order val="1"/>
          <c:tx>
            <c:strRef>
              <c:f>[1]Hoja3!$B$2</c:f>
              <c:strCache>
                <c:ptCount val="1"/>
                <c:pt idx="0">
                  <c:v>f teo (Hz)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[1]Hoja3!$C$19:$C$22</c:f>
              <c:numCache>
                <c:formatCode>General</c:formatCode>
                <c:ptCount val="4"/>
                <c:pt idx="0">
                  <c:v>300000</c:v>
                </c:pt>
                <c:pt idx="1">
                  <c:v>500000</c:v>
                </c:pt>
                <c:pt idx="2">
                  <c:v>800000</c:v>
                </c:pt>
                <c:pt idx="3">
                  <c:v>1000000</c:v>
                </c:pt>
              </c:numCache>
            </c:numRef>
          </c:xVal>
          <c:yVal>
            <c:numRef>
              <c:f>[1]Hoja3!$H$19:$H$22</c:f>
              <c:numCache>
                <c:formatCode>General</c:formatCode>
                <c:ptCount val="4"/>
                <c:pt idx="0">
                  <c:v>-10.611311478932572</c:v>
                </c:pt>
                <c:pt idx="1">
                  <c:v>-13.979400086720377</c:v>
                </c:pt>
                <c:pt idx="2">
                  <c:v>-17.27560505964022</c:v>
                </c:pt>
                <c:pt idx="3">
                  <c:v>-19.554472105776956</c:v>
                </c:pt>
              </c:numCache>
            </c:numRef>
          </c:yVal>
          <c:smooth val="0"/>
          <c:extLst>
            <c:ext xmlns:c16="http://schemas.microsoft.com/office/drawing/2014/chart" uri="{C3380CC4-5D6E-409C-BE32-E72D297353CC}">
              <c16:uniqueId val="{00000002-7F57-4863-ADDE-FD3EE5263FBF}"/>
            </c:ext>
          </c:extLst>
        </c:ser>
        <c:dLbls>
          <c:showLegendKey val="0"/>
          <c:showVal val="0"/>
          <c:showCatName val="0"/>
          <c:showSerName val="0"/>
          <c:showPercent val="0"/>
          <c:showBubbleSize val="0"/>
        </c:dLbls>
        <c:axId val="1690054127"/>
        <c:axId val="1690045807"/>
      </c:scatterChart>
      <c:valAx>
        <c:axId val="169005412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45807"/>
        <c:crosses val="autoZero"/>
        <c:crossBetween val="midCat"/>
      </c:valAx>
      <c:valAx>
        <c:axId val="1690045807"/>
        <c:scaling>
          <c:orientation val="minMax"/>
          <c:max val="2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54127"/>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Relación</a:t>
            </a:r>
            <a:r>
              <a:rPr lang="es-ES" baseline="0"/>
              <a:t> I-V</a:t>
            </a:r>
          </a:p>
        </c:rich>
      </c:tx>
      <c:overlay val="0"/>
      <c:spPr>
        <a:noFill/>
        <a:ln>
          <a:noFill/>
        </a:ln>
        <a:effectLst/>
      </c:spPr>
    </c:title>
    <c:autoTitleDeleted val="0"/>
    <c:plotArea>
      <c:layout/>
      <c:scatterChart>
        <c:scatterStyle val="smoothMarker"/>
        <c:varyColors val="0"/>
        <c:ser>
          <c:idx val="1"/>
          <c:order val="0"/>
          <c:tx>
            <c:v>Tramo 1</c:v>
          </c:tx>
          <c:xVal>
            <c:numRef>
              <c:f>'Práctica 4'!$F$35:$F$42</c:f>
              <c:numCache>
                <c:formatCode>General</c:formatCode>
                <c:ptCount val="8"/>
                <c:pt idx="0">
                  <c:v>0</c:v>
                </c:pt>
                <c:pt idx="1">
                  <c:v>0.214</c:v>
                </c:pt>
                <c:pt idx="2">
                  <c:v>0.41199999999999998</c:v>
                </c:pt>
                <c:pt idx="3">
                  <c:v>0.623</c:v>
                </c:pt>
                <c:pt idx="4">
                  <c:v>0.81599999999999995</c:v>
                </c:pt>
                <c:pt idx="5">
                  <c:v>1.008</c:v>
                </c:pt>
                <c:pt idx="6">
                  <c:v>1.2030000000000001</c:v>
                </c:pt>
                <c:pt idx="7">
                  <c:v>1.401</c:v>
                </c:pt>
              </c:numCache>
            </c:numRef>
          </c:xVal>
          <c:yVal>
            <c:numRef>
              <c:f>'Práctica 4'!$H$35:$H$42</c:f>
              <c:numCache>
                <c:formatCode>General</c:formatCode>
                <c:ptCount val="8"/>
                <c:pt idx="0">
                  <c:v>0</c:v>
                </c:pt>
                <c:pt idx="1">
                  <c:v>0</c:v>
                </c:pt>
                <c:pt idx="2">
                  <c:v>0</c:v>
                </c:pt>
                <c:pt idx="3">
                  <c:v>1.0075566750629732E-7</c:v>
                </c:pt>
                <c:pt idx="4">
                  <c:v>0</c:v>
                </c:pt>
                <c:pt idx="5">
                  <c:v>1.0075566750628613E-7</c:v>
                </c:pt>
                <c:pt idx="6">
                  <c:v>1.0075566750628613E-7</c:v>
                </c:pt>
                <c:pt idx="7">
                  <c:v>1.9143576826196379E-6</c:v>
                </c:pt>
              </c:numCache>
            </c:numRef>
          </c:yVal>
          <c:smooth val="1"/>
          <c:extLst>
            <c:ext xmlns:c16="http://schemas.microsoft.com/office/drawing/2014/chart" uri="{C3380CC4-5D6E-409C-BE32-E72D297353CC}">
              <c16:uniqueId val="{00000004-957B-4FE1-9F35-3BD4DC9C1314}"/>
            </c:ext>
          </c:extLst>
        </c:ser>
        <c:ser>
          <c:idx val="0"/>
          <c:order val="1"/>
          <c:tx>
            <c:v>Tramo 2</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trendlineType val="exp"/>
            <c:dispRSqr val="0"/>
            <c:dispEq val="1"/>
            <c:trendlineLbl>
              <c:numFmt formatCode="General" sourceLinked="0"/>
            </c:trendlineLbl>
          </c:trendline>
          <c:xVal>
            <c:numRef>
              <c:f>'Práctica 4'!$F$42:$F$55</c:f>
              <c:numCache>
                <c:formatCode>General</c:formatCode>
                <c:ptCount val="14"/>
                <c:pt idx="0">
                  <c:v>1.401</c:v>
                </c:pt>
                <c:pt idx="1">
                  <c:v>1.49</c:v>
                </c:pt>
                <c:pt idx="2">
                  <c:v>1.524</c:v>
                </c:pt>
                <c:pt idx="3">
                  <c:v>1.5449999999999999</c:v>
                </c:pt>
                <c:pt idx="4">
                  <c:v>1.5589999999999999</c:v>
                </c:pt>
                <c:pt idx="5">
                  <c:v>1.57</c:v>
                </c:pt>
                <c:pt idx="6">
                  <c:v>1.58</c:v>
                </c:pt>
                <c:pt idx="7">
                  <c:v>1.587</c:v>
                </c:pt>
                <c:pt idx="8">
                  <c:v>1.595</c:v>
                </c:pt>
                <c:pt idx="9">
                  <c:v>1.6</c:v>
                </c:pt>
                <c:pt idx="10">
                  <c:v>1.605</c:v>
                </c:pt>
                <c:pt idx="11">
                  <c:v>1.61</c:v>
                </c:pt>
                <c:pt idx="12">
                  <c:v>1.615</c:v>
                </c:pt>
                <c:pt idx="13">
                  <c:v>1.6180000000000001</c:v>
                </c:pt>
              </c:numCache>
            </c:numRef>
          </c:xVal>
          <c:yVal>
            <c:numRef>
              <c:f>'Práctica 4'!$H$42:$H$55</c:f>
              <c:numCache>
                <c:formatCode>General</c:formatCode>
                <c:ptCount val="14"/>
                <c:pt idx="0">
                  <c:v>1.9143576826196379E-6</c:v>
                </c:pt>
                <c:pt idx="1">
                  <c:v>1.2795969773299748E-5</c:v>
                </c:pt>
                <c:pt idx="2">
                  <c:v>2.7707808564231731E-5</c:v>
                </c:pt>
                <c:pt idx="3">
                  <c:v>4.6246851385390435E-5</c:v>
                </c:pt>
                <c:pt idx="4">
                  <c:v>6.4785894206549123E-5</c:v>
                </c:pt>
                <c:pt idx="5">
                  <c:v>8.3929471032745593E-5</c:v>
                </c:pt>
                <c:pt idx="6">
                  <c:v>1.0468513853904283E-4</c:v>
                </c:pt>
                <c:pt idx="7">
                  <c:v>1.240302267002519E-4</c:v>
                </c:pt>
                <c:pt idx="8">
                  <c:v>1.4518891687657432E-4</c:v>
                </c:pt>
                <c:pt idx="9">
                  <c:v>1.6151133501259444E-4</c:v>
                </c:pt>
                <c:pt idx="10">
                  <c:v>1.816624685138539E-4</c:v>
                </c:pt>
                <c:pt idx="11">
                  <c:v>2.0191435768261961E-4</c:v>
                </c:pt>
                <c:pt idx="12">
                  <c:v>2.2146095717884135E-4</c:v>
                </c:pt>
                <c:pt idx="13">
                  <c:v>2.4312342569269516E-4</c:v>
                </c:pt>
              </c:numCache>
            </c:numRef>
          </c:yVal>
          <c:smooth val="1"/>
          <c:extLst>
            <c:ext xmlns:c16="http://schemas.microsoft.com/office/drawing/2014/chart" uri="{C3380CC4-5D6E-409C-BE32-E72D297353CC}">
              <c16:uniqueId val="{00000003-957B-4FE1-9F35-3BD4DC9C1314}"/>
            </c:ext>
          </c:extLst>
        </c:ser>
        <c:dLbls>
          <c:showLegendKey val="0"/>
          <c:showVal val="0"/>
          <c:showCatName val="0"/>
          <c:showSerName val="0"/>
          <c:showPercent val="0"/>
          <c:showBubbleSize val="0"/>
        </c:dLbls>
        <c:axId val="2072481279"/>
        <c:axId val="2072481695"/>
      </c:scatterChart>
      <c:valAx>
        <c:axId val="207248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695"/>
        <c:crosses val="autoZero"/>
        <c:crossBetween val="midCat"/>
      </c:valAx>
      <c:valAx>
        <c:axId val="207248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279"/>
        <c:crosses val="autoZero"/>
        <c:crossBetween val="midCat"/>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a:t>
            </a:r>
          </a:p>
        </c:rich>
      </c:tx>
      <c:overlay val="0"/>
      <c:spPr>
        <a:noFill/>
        <a:ln>
          <a:noFill/>
        </a:ln>
        <a:effectLst/>
      </c:spPr>
    </c:title>
    <c:autoTitleDeleted val="0"/>
    <c:plotArea>
      <c:layout/>
      <c:scatterChart>
        <c:scatterStyle val="smoothMarker"/>
        <c:varyColors val="0"/>
        <c:ser>
          <c:idx val="1"/>
          <c:order val="0"/>
          <c:tx>
            <c:v>Tramo 1</c:v>
          </c:tx>
          <c:trendline>
            <c:trendlineType val="linear"/>
            <c:dispRSqr val="1"/>
            <c:dispEq val="1"/>
            <c:trendlineLbl>
              <c:layout>
                <c:manualLayout>
                  <c:x val="-0.28492639793685953"/>
                  <c:y val="4.1024274812303092E-2"/>
                </c:manualLayout>
              </c:layout>
              <c:numFmt formatCode="General" sourceLinked="0"/>
            </c:trendlineLbl>
          </c:trendline>
          <c:xVal>
            <c:numRef>
              <c:f>'Práctica 4'!$F$35:$F$43</c:f>
              <c:numCache>
                <c:formatCode>General</c:formatCode>
                <c:ptCount val="9"/>
                <c:pt idx="0">
                  <c:v>0</c:v>
                </c:pt>
                <c:pt idx="1">
                  <c:v>0.214</c:v>
                </c:pt>
                <c:pt idx="2">
                  <c:v>0.41199999999999998</c:v>
                </c:pt>
                <c:pt idx="3">
                  <c:v>0.623</c:v>
                </c:pt>
                <c:pt idx="4">
                  <c:v>0.81599999999999995</c:v>
                </c:pt>
                <c:pt idx="5">
                  <c:v>1.008</c:v>
                </c:pt>
                <c:pt idx="6">
                  <c:v>1.2030000000000001</c:v>
                </c:pt>
                <c:pt idx="7">
                  <c:v>1.401</c:v>
                </c:pt>
                <c:pt idx="8">
                  <c:v>1.49</c:v>
                </c:pt>
              </c:numCache>
            </c:numRef>
          </c:xVal>
          <c:yVal>
            <c:numRef>
              <c:f>'Práctica 4'!$E$35:$E$43</c:f>
              <c:numCache>
                <c:formatCode>General</c:formatCode>
                <c:ptCount val="9"/>
                <c:pt idx="0">
                  <c:v>0</c:v>
                </c:pt>
                <c:pt idx="1">
                  <c:v>0.214</c:v>
                </c:pt>
                <c:pt idx="2">
                  <c:v>0.41199999999999998</c:v>
                </c:pt>
                <c:pt idx="3">
                  <c:v>0.624</c:v>
                </c:pt>
                <c:pt idx="4">
                  <c:v>0.81599999999999995</c:v>
                </c:pt>
                <c:pt idx="5">
                  <c:v>1.0089999999999999</c:v>
                </c:pt>
                <c:pt idx="6">
                  <c:v>1.204</c:v>
                </c:pt>
                <c:pt idx="7">
                  <c:v>1.42</c:v>
                </c:pt>
                <c:pt idx="8">
                  <c:v>1.617</c:v>
                </c:pt>
              </c:numCache>
            </c:numRef>
          </c:yVal>
          <c:smooth val="1"/>
          <c:extLst>
            <c:ext xmlns:c16="http://schemas.microsoft.com/office/drawing/2014/chart" uri="{C3380CC4-5D6E-409C-BE32-E72D297353CC}">
              <c16:uniqueId val="{00000003-FE09-4931-8A2E-EC58EEA8BBBF}"/>
            </c:ext>
          </c:extLst>
        </c:ser>
        <c:ser>
          <c:idx val="0"/>
          <c:order val="1"/>
          <c:tx>
            <c:v>Tramo 2</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trendlineType val="linear"/>
            <c:dispRSqr val="1"/>
            <c:dispEq val="1"/>
            <c:trendlineLbl>
              <c:layout>
                <c:manualLayout>
                  <c:x val="-3.4292285865515422E-2"/>
                  <c:y val="7.5048124036262612E-2"/>
                </c:manualLayout>
              </c:layout>
              <c:numFmt formatCode="General" sourceLinked="0"/>
            </c:trendlineLbl>
          </c:trendline>
          <c:xVal>
            <c:numRef>
              <c:f>'Práctica 4'!$F$43:$F$55</c:f>
              <c:numCache>
                <c:formatCode>General</c:formatCode>
                <c:ptCount val="13"/>
                <c:pt idx="0">
                  <c:v>1.49</c:v>
                </c:pt>
                <c:pt idx="1">
                  <c:v>1.524</c:v>
                </c:pt>
                <c:pt idx="2">
                  <c:v>1.5449999999999999</c:v>
                </c:pt>
                <c:pt idx="3">
                  <c:v>1.5589999999999999</c:v>
                </c:pt>
                <c:pt idx="4">
                  <c:v>1.57</c:v>
                </c:pt>
                <c:pt idx="5">
                  <c:v>1.58</c:v>
                </c:pt>
                <c:pt idx="6">
                  <c:v>1.587</c:v>
                </c:pt>
                <c:pt idx="7">
                  <c:v>1.595</c:v>
                </c:pt>
                <c:pt idx="8">
                  <c:v>1.6</c:v>
                </c:pt>
                <c:pt idx="9">
                  <c:v>1.605</c:v>
                </c:pt>
                <c:pt idx="10">
                  <c:v>1.61</c:v>
                </c:pt>
                <c:pt idx="11">
                  <c:v>1.615</c:v>
                </c:pt>
                <c:pt idx="12">
                  <c:v>1.6180000000000001</c:v>
                </c:pt>
              </c:numCache>
            </c:numRef>
          </c:xVal>
          <c:yVal>
            <c:numRef>
              <c:f>'Práctica 4'!$E$43:$E$55</c:f>
              <c:numCache>
                <c:formatCode>General</c:formatCode>
                <c:ptCount val="13"/>
                <c:pt idx="0">
                  <c:v>1.617</c:v>
                </c:pt>
                <c:pt idx="1">
                  <c:v>1.7989999999999999</c:v>
                </c:pt>
                <c:pt idx="2">
                  <c:v>2.004</c:v>
                </c:pt>
                <c:pt idx="3">
                  <c:v>2.202</c:v>
                </c:pt>
                <c:pt idx="4">
                  <c:v>2.403</c:v>
                </c:pt>
                <c:pt idx="5">
                  <c:v>2.6190000000000002</c:v>
                </c:pt>
                <c:pt idx="6">
                  <c:v>2.8180000000000001</c:v>
                </c:pt>
                <c:pt idx="7">
                  <c:v>3.036</c:v>
                </c:pt>
                <c:pt idx="8">
                  <c:v>3.2029999999999998</c:v>
                </c:pt>
                <c:pt idx="9">
                  <c:v>3.4079999999999999</c:v>
                </c:pt>
                <c:pt idx="10">
                  <c:v>3.6139999999999999</c:v>
                </c:pt>
                <c:pt idx="11">
                  <c:v>3.8130000000000002</c:v>
                </c:pt>
                <c:pt idx="12">
                  <c:v>4.0309999999999997</c:v>
                </c:pt>
              </c:numCache>
            </c:numRef>
          </c:yVal>
          <c:smooth val="1"/>
          <c:extLst>
            <c:ext xmlns:c16="http://schemas.microsoft.com/office/drawing/2014/chart" uri="{C3380CC4-5D6E-409C-BE32-E72D297353CC}">
              <c16:uniqueId val="{00000002-FE09-4931-8A2E-EC58EEA8BBBF}"/>
            </c:ext>
          </c:extLst>
        </c:ser>
        <c:dLbls>
          <c:showLegendKey val="0"/>
          <c:showVal val="0"/>
          <c:showCatName val="0"/>
          <c:showSerName val="0"/>
          <c:showPercent val="0"/>
          <c:showBubbleSize val="0"/>
        </c:dLbls>
        <c:axId val="2072445503"/>
        <c:axId val="2072427199"/>
      </c:scatterChart>
      <c:valAx>
        <c:axId val="207244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7199"/>
        <c:crosses val="autoZero"/>
        <c:crossBetween val="midCat"/>
      </c:valAx>
      <c:valAx>
        <c:axId val="20724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45503"/>
        <c:crosses val="autoZero"/>
        <c:crossBetween val="midCat"/>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 Vds-Vi</a:t>
            </a:r>
          </a:p>
        </c:rich>
      </c:tx>
      <c:layout>
        <c:manualLayout>
          <c:xMode val="edge"/>
          <c:yMode val="edge"/>
          <c:x val="0.25304858987689255"/>
          <c:y val="2.7777640412369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Característica de transferencia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'Práctica 5'!$F$10:$F$20</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'Práctica 5'!$G$10:$G$20</c:f>
              <c:numCache>
                <c:formatCode>General</c:formatCode>
                <c:ptCount val="11"/>
                <c:pt idx="0">
                  <c:v>4.9409999999999998</c:v>
                </c:pt>
                <c:pt idx="1">
                  <c:v>4.9390000000000001</c:v>
                </c:pt>
                <c:pt idx="2">
                  <c:v>4.9370000000000003</c:v>
                </c:pt>
                <c:pt idx="3">
                  <c:v>4.4450000000000003</c:v>
                </c:pt>
                <c:pt idx="4">
                  <c:v>1.736</c:v>
                </c:pt>
                <c:pt idx="5">
                  <c:v>0.28399999999999997</c:v>
                </c:pt>
                <c:pt idx="6">
                  <c:v>0.19600000000000001</c:v>
                </c:pt>
                <c:pt idx="7">
                  <c:v>0.157</c:v>
                </c:pt>
                <c:pt idx="8">
                  <c:v>0.13500000000000001</c:v>
                </c:pt>
                <c:pt idx="9">
                  <c:v>0.12</c:v>
                </c:pt>
                <c:pt idx="10">
                  <c:v>0.11</c:v>
                </c:pt>
              </c:numCache>
            </c:numRef>
          </c:yVal>
          <c:smooth val="1"/>
          <c:extLst>
            <c:ext xmlns:c16="http://schemas.microsoft.com/office/drawing/2014/chart" uri="{C3380CC4-5D6E-409C-BE32-E72D297353CC}">
              <c16:uniqueId val="{00000000-D27A-4DBC-853F-45377E723676}"/>
            </c:ext>
          </c:extLst>
        </c:ser>
        <c:dLbls>
          <c:showLegendKey val="0"/>
          <c:showVal val="0"/>
          <c:showCatName val="0"/>
          <c:showSerName val="0"/>
          <c:showPercent val="0"/>
          <c:showBubbleSize val="0"/>
        </c:dLbls>
        <c:axId val="2072439263"/>
        <c:axId val="2072428863"/>
      </c:scatterChart>
      <c:valAx>
        <c:axId val="207243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8863"/>
        <c:crosses val="autoZero"/>
        <c:crossBetween val="midCat"/>
      </c:valAx>
      <c:valAx>
        <c:axId val="207242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39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Característica I-V</a:t>
            </a:r>
          </a:p>
        </c:rich>
      </c:tx>
      <c:overlay val="0"/>
      <c:spPr>
        <a:noFill/>
        <a:ln>
          <a:noFill/>
        </a:ln>
        <a:effectLst/>
      </c:spPr>
    </c:title>
    <c:autoTitleDeleted val="0"/>
    <c:plotArea>
      <c:layout/>
      <c:scatterChart>
        <c:scatterStyle val="smoothMarker"/>
        <c:varyColors val="0"/>
        <c:ser>
          <c:idx val="2"/>
          <c:order val="0"/>
          <c:tx>
            <c:v>Característica V-I</c:v>
          </c:tx>
          <c:xVal>
            <c:numRef>
              <c:f>'Práctica 5'!$I$73:$I$82</c:f>
              <c:numCache>
                <c:formatCode>General</c:formatCode>
                <c:ptCount val="10"/>
                <c:pt idx="0">
                  <c:v>0.45200000000000001</c:v>
                </c:pt>
                <c:pt idx="1">
                  <c:v>0.78100000000000003</c:v>
                </c:pt>
                <c:pt idx="2">
                  <c:v>0.90500000000000003</c:v>
                </c:pt>
                <c:pt idx="3">
                  <c:v>0.96</c:v>
                </c:pt>
                <c:pt idx="4">
                  <c:v>1.0029999999999999</c:v>
                </c:pt>
                <c:pt idx="5">
                  <c:v>1.03</c:v>
                </c:pt>
                <c:pt idx="6">
                  <c:v>1.0529999999999999</c:v>
                </c:pt>
                <c:pt idx="7">
                  <c:v>1.071</c:v>
                </c:pt>
                <c:pt idx="8">
                  <c:v>1.0900000000000001</c:v>
                </c:pt>
                <c:pt idx="9">
                  <c:v>1.103</c:v>
                </c:pt>
              </c:numCache>
            </c:numRef>
          </c:xVal>
          <c:yVal>
            <c:numRef>
              <c:f>'Práctica 5'!$K$73:$K$82</c:f>
              <c:numCache>
                <c:formatCode>General</c:formatCode>
                <c:ptCount val="10"/>
                <c:pt idx="0">
                  <c:v>2.0151133501259446E-7</c:v>
                </c:pt>
                <c:pt idx="1">
                  <c:v>1.8539042821158691E-5</c:v>
                </c:pt>
                <c:pt idx="2">
                  <c:v>5.6221662468513859E-5</c:v>
                </c:pt>
                <c:pt idx="3">
                  <c:v>1.0055415617128463E-4</c:v>
                </c:pt>
                <c:pt idx="4">
                  <c:v>1.4670025188916877E-4</c:v>
                </c:pt>
                <c:pt idx="5">
                  <c:v>1.9496221662468514E-4</c:v>
                </c:pt>
                <c:pt idx="6">
                  <c:v>2.4554156171284632E-4</c:v>
                </c:pt>
                <c:pt idx="7">
                  <c:v>2.8866498740554161E-4</c:v>
                </c:pt>
                <c:pt idx="8">
                  <c:v>3.445843828715365E-4</c:v>
                </c:pt>
                <c:pt idx="9">
                  <c:v>3.9133501259445844E-4</c:v>
                </c:pt>
              </c:numCache>
            </c:numRef>
          </c:yVal>
          <c:smooth val="1"/>
          <c:extLst>
            <c:ext xmlns:c16="http://schemas.microsoft.com/office/drawing/2014/chart" uri="{C3380CC4-5D6E-409C-BE32-E72D297353CC}">
              <c16:uniqueId val="{0000000F-2D78-4B9A-9436-E7D68CAF282A}"/>
            </c:ext>
          </c:extLst>
        </c:ser>
        <c:ser>
          <c:idx val="3"/>
          <c:order val="1"/>
          <c:tx>
            <c:v>Característica V-I</c:v>
          </c:tx>
          <c:spPr>
            <a:ln w="19050" cap="rnd">
              <a:solidFill>
                <a:schemeClr val="accent1"/>
              </a:solidFill>
              <a:round/>
            </a:ln>
            <a:effectLst/>
          </c:spPr>
          <c:xVal>
            <c:numRef>
              <c:f>'Práctica 5'!$I$72:$I$73</c:f>
              <c:numCache>
                <c:formatCode>General</c:formatCode>
                <c:ptCount val="2"/>
                <c:pt idx="0">
                  <c:v>0</c:v>
                </c:pt>
                <c:pt idx="1">
                  <c:v>0.45200000000000001</c:v>
                </c:pt>
              </c:numCache>
            </c:numRef>
          </c:xVal>
          <c:yVal>
            <c:numRef>
              <c:f>'Práctica 5'!$K$72:$K$73</c:f>
              <c:numCache>
                <c:formatCode>General</c:formatCode>
                <c:ptCount val="2"/>
                <c:pt idx="0">
                  <c:v>0</c:v>
                </c:pt>
                <c:pt idx="1">
                  <c:v>2.0151133501259446E-7</c:v>
                </c:pt>
              </c:numCache>
            </c:numRef>
          </c:yVal>
          <c:smooth val="1"/>
          <c:extLst>
            <c:ext xmlns:c16="http://schemas.microsoft.com/office/drawing/2014/chart" uri="{C3380CC4-5D6E-409C-BE32-E72D297353CC}">
              <c16:uniqueId val="{00000010-2D78-4B9A-9436-E7D68CAF282A}"/>
            </c:ext>
          </c:extLst>
        </c:ser>
        <c:ser>
          <c:idx val="1"/>
          <c:order val="2"/>
          <c:tx>
            <c:v>Característica V-I</c:v>
          </c:tx>
          <c:trendline>
            <c:trendlineType val="linear"/>
            <c:dispRSqr val="0"/>
            <c:dispEq val="0"/>
          </c:trendline>
          <c:trendline>
            <c:trendlineType val="linear"/>
            <c:dispRSqr val="0"/>
            <c:dispEq val="0"/>
          </c:trendline>
          <c:trendline>
            <c:trendlineType val="linear"/>
            <c:dispRSqr val="0"/>
            <c:dispEq val="0"/>
          </c:trendline>
          <c:trendline>
            <c:trendlineType val="linear"/>
            <c:dispRSqr val="1"/>
            <c:dispEq val="1"/>
            <c:trendlineLbl>
              <c:numFmt formatCode="General" sourceLinked="0"/>
            </c:trendlineLbl>
          </c:trendline>
          <c:xVal>
            <c:numRef>
              <c:f>'Práctica 5'!$I$78:$I$82</c:f>
              <c:numCache>
                <c:formatCode>General</c:formatCode>
                <c:ptCount val="5"/>
                <c:pt idx="0">
                  <c:v>1.03</c:v>
                </c:pt>
                <c:pt idx="1">
                  <c:v>1.0529999999999999</c:v>
                </c:pt>
                <c:pt idx="2">
                  <c:v>1.071</c:v>
                </c:pt>
                <c:pt idx="3">
                  <c:v>1.0900000000000001</c:v>
                </c:pt>
                <c:pt idx="4">
                  <c:v>1.103</c:v>
                </c:pt>
              </c:numCache>
            </c:numRef>
          </c:xVal>
          <c:yVal>
            <c:numRef>
              <c:f>'Práctica 5'!$K$78:$K$82</c:f>
              <c:numCache>
                <c:formatCode>General</c:formatCode>
                <c:ptCount val="5"/>
                <c:pt idx="0">
                  <c:v>1.9496221662468514E-4</c:v>
                </c:pt>
                <c:pt idx="1">
                  <c:v>2.4554156171284632E-4</c:v>
                </c:pt>
                <c:pt idx="2">
                  <c:v>2.8866498740554161E-4</c:v>
                </c:pt>
                <c:pt idx="3">
                  <c:v>3.445843828715365E-4</c:v>
                </c:pt>
                <c:pt idx="4">
                  <c:v>3.9133501259445844E-4</c:v>
                </c:pt>
              </c:numCache>
            </c:numRef>
          </c:yVal>
          <c:smooth val="1"/>
          <c:extLst>
            <c:ext xmlns:c16="http://schemas.microsoft.com/office/drawing/2014/chart" uri="{C3380CC4-5D6E-409C-BE32-E72D297353CC}">
              <c16:uniqueId val="{0000000B-2D78-4B9A-9436-E7D68CAF282A}"/>
            </c:ext>
          </c:extLst>
        </c:ser>
        <c:ser>
          <c:idx val="0"/>
          <c:order val="3"/>
          <c:tx>
            <c:v>Característica V-I</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'Práctica 5'!$I$72:$I$73</c:f>
              <c:numCache>
                <c:formatCode>General</c:formatCode>
                <c:ptCount val="2"/>
                <c:pt idx="0">
                  <c:v>0</c:v>
                </c:pt>
                <c:pt idx="1">
                  <c:v>0.45200000000000001</c:v>
                </c:pt>
              </c:numCache>
            </c:numRef>
          </c:xVal>
          <c:yVal>
            <c:numRef>
              <c:f>'Práctica 5'!$K$72:$K$73</c:f>
              <c:numCache>
                <c:formatCode>General</c:formatCode>
                <c:ptCount val="2"/>
                <c:pt idx="0">
                  <c:v>0</c:v>
                </c:pt>
                <c:pt idx="1">
                  <c:v>2.0151133501259446E-7</c:v>
                </c:pt>
              </c:numCache>
            </c:numRef>
          </c:yVal>
          <c:smooth val="1"/>
          <c:extLst>
            <c:ext xmlns:c16="http://schemas.microsoft.com/office/drawing/2014/chart" uri="{C3380CC4-5D6E-409C-BE32-E72D297353CC}">
              <c16:uniqueId val="{0000000E-2D78-4B9A-9436-E7D68CAF282A}"/>
            </c:ext>
          </c:extLst>
        </c:ser>
        <c:dLbls>
          <c:showLegendKey val="0"/>
          <c:showVal val="0"/>
          <c:showCatName val="0"/>
          <c:showSerName val="0"/>
          <c:showPercent val="0"/>
          <c:showBubbleSize val="0"/>
        </c:dLbls>
        <c:axId val="2041150479"/>
        <c:axId val="2041136335"/>
      </c:scatterChart>
      <c:valAx>
        <c:axId val="204115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36335"/>
        <c:crosses val="autoZero"/>
        <c:crossBetween val="midCat"/>
      </c:valAx>
      <c:valAx>
        <c:axId val="20411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50479"/>
        <c:crosses val="autoZero"/>
        <c:crossBetween val="midCat"/>
      </c:valAx>
    </c:plotArea>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microsoft.com/office/2007/relationships/hdphoto" Target="../media/hdphoto2.wdp"/><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0.png"/><Relationship Id="rId5" Type="http://schemas.openxmlformats.org/officeDocument/2006/relationships/image" Target="../media/image3.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chart" Target="../charts/chart5.xml"/><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16</xdr:row>
      <xdr:rowOff>66675</xdr:rowOff>
    </xdr:from>
    <xdr:to>
      <xdr:col>7</xdr:col>
      <xdr:colOff>391062</xdr:colOff>
      <xdr:row>22</xdr:row>
      <xdr:rowOff>133519</xdr:rowOff>
    </xdr:to>
    <xdr:pic>
      <xdr:nvPicPr>
        <xdr:cNvPr id="2" name="Imagen 1">
          <a:extLst>
            <a:ext uri="{FF2B5EF4-FFF2-40B4-BE49-F238E27FC236}">
              <a16:creationId xmlns:a16="http://schemas.microsoft.com/office/drawing/2014/main" id="{38C66AF0-3C71-75A5-75E7-0C0D786ADBF3}"/>
            </a:ext>
          </a:extLst>
        </xdr:cNvPr>
        <xdr:cNvPicPr>
          <a:picLocks noChangeAspect="1"/>
        </xdr:cNvPicPr>
      </xdr:nvPicPr>
      <xdr:blipFill>
        <a:blip xmlns:r="http://schemas.openxmlformats.org/officeDocument/2006/relationships" r:embed="rId1"/>
        <a:stretch>
          <a:fillRect/>
        </a:stretch>
      </xdr:blipFill>
      <xdr:spPr>
        <a:xfrm>
          <a:off x="1114425" y="2800350"/>
          <a:ext cx="3848637" cy="1209844"/>
        </a:xfrm>
        <a:prstGeom prst="rect">
          <a:avLst/>
        </a:prstGeom>
      </xdr:spPr>
    </xdr:pic>
    <xdr:clientData/>
  </xdr:twoCellAnchor>
  <xdr:twoCellAnchor>
    <xdr:from>
      <xdr:col>4</xdr:col>
      <xdr:colOff>381000</xdr:colOff>
      <xdr:row>18</xdr:row>
      <xdr:rowOff>123825</xdr:rowOff>
    </xdr:from>
    <xdr:to>
      <xdr:col>4</xdr:col>
      <xdr:colOff>504825</xdr:colOff>
      <xdr:row>21</xdr:row>
      <xdr:rowOff>0</xdr:rowOff>
    </xdr:to>
    <xdr:sp macro="" textlink="">
      <xdr:nvSpPr>
        <xdr:cNvPr id="3" name="Flecha: hacia abajo 2">
          <a:extLst>
            <a:ext uri="{FF2B5EF4-FFF2-40B4-BE49-F238E27FC236}">
              <a16:creationId xmlns:a16="http://schemas.microsoft.com/office/drawing/2014/main" id="{B2ED644A-D0FA-7E89-0DA3-898A9DF228AA}"/>
            </a:ext>
          </a:extLst>
        </xdr:cNvPr>
        <xdr:cNvSpPr/>
      </xdr:nvSpPr>
      <xdr:spPr>
        <a:xfrm>
          <a:off x="2667000" y="3238500"/>
          <a:ext cx="123825" cy="447675"/>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293645</xdr:colOff>
      <xdr:row>1</xdr:row>
      <xdr:rowOff>57150</xdr:rowOff>
    </xdr:from>
    <xdr:to>
      <xdr:col>14</xdr:col>
      <xdr:colOff>504235</xdr:colOff>
      <xdr:row>15</xdr:row>
      <xdr:rowOff>104775</xdr:rowOff>
    </xdr:to>
    <xdr:pic>
      <xdr:nvPicPr>
        <xdr:cNvPr id="2" name="Imagen 1">
          <a:extLst>
            <a:ext uri="{FF2B5EF4-FFF2-40B4-BE49-F238E27FC236}">
              <a16:creationId xmlns:a16="http://schemas.microsoft.com/office/drawing/2014/main" id="{282E01D9-C091-B0E2-580B-424B321F6364}"/>
            </a:ext>
          </a:extLst>
        </xdr:cNvPr>
        <xdr:cNvPicPr>
          <a:picLocks noChangeAspect="1"/>
        </xdr:cNvPicPr>
      </xdr:nvPicPr>
      <xdr:blipFill>
        <a:blip xmlns:r="http://schemas.openxmlformats.org/officeDocument/2006/relationships" r:embed="rId1"/>
        <a:stretch>
          <a:fillRect/>
        </a:stretch>
      </xdr:blipFill>
      <xdr:spPr>
        <a:xfrm>
          <a:off x="7494545" y="447675"/>
          <a:ext cx="3334790" cy="3295650"/>
        </a:xfrm>
        <a:prstGeom prst="rect">
          <a:avLst/>
        </a:prstGeom>
      </xdr:spPr>
    </xdr:pic>
    <xdr:clientData/>
  </xdr:twoCellAnchor>
  <xdr:twoCellAnchor>
    <xdr:from>
      <xdr:col>6</xdr:col>
      <xdr:colOff>161926</xdr:colOff>
      <xdr:row>2</xdr:row>
      <xdr:rowOff>9525</xdr:rowOff>
    </xdr:from>
    <xdr:to>
      <xdr:col>6</xdr:col>
      <xdr:colOff>238126</xdr:colOff>
      <xdr:row>2</xdr:row>
      <xdr:rowOff>190501</xdr:rowOff>
    </xdr:to>
    <xdr:sp macro="" textlink="">
      <xdr:nvSpPr>
        <xdr:cNvPr id="3" name="Rectángulo 2">
          <a:extLst>
            <a:ext uri="{FF2B5EF4-FFF2-40B4-BE49-F238E27FC236}">
              <a16:creationId xmlns:a16="http://schemas.microsoft.com/office/drawing/2014/main" id="{FC7A3AB7-1175-6BD6-9440-96F0A873EC88}"/>
            </a:ext>
          </a:extLst>
        </xdr:cNvPr>
        <xdr:cNvSpPr/>
      </xdr:nvSpPr>
      <xdr:spPr>
        <a:xfrm>
          <a:off x="3524251" y="600075"/>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314326</xdr:colOff>
      <xdr:row>2</xdr:row>
      <xdr:rowOff>9525</xdr:rowOff>
    </xdr:from>
    <xdr:to>
      <xdr:col>6</xdr:col>
      <xdr:colOff>390526</xdr:colOff>
      <xdr:row>2</xdr:row>
      <xdr:rowOff>190501</xdr:rowOff>
    </xdr:to>
    <xdr:sp macro="" textlink="">
      <xdr:nvSpPr>
        <xdr:cNvPr id="4" name="Rectángulo 3">
          <a:extLst>
            <a:ext uri="{FF2B5EF4-FFF2-40B4-BE49-F238E27FC236}">
              <a16:creationId xmlns:a16="http://schemas.microsoft.com/office/drawing/2014/main" id="{73157C35-5308-4D1A-8C66-ED3D56F7D4C6}"/>
            </a:ext>
          </a:extLst>
        </xdr:cNvPr>
        <xdr:cNvSpPr/>
      </xdr:nvSpPr>
      <xdr:spPr>
        <a:xfrm>
          <a:off x="3676651" y="600075"/>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485776</xdr:colOff>
      <xdr:row>2</xdr:row>
      <xdr:rowOff>9525</xdr:rowOff>
    </xdr:from>
    <xdr:to>
      <xdr:col>6</xdr:col>
      <xdr:colOff>561976</xdr:colOff>
      <xdr:row>2</xdr:row>
      <xdr:rowOff>190501</xdr:rowOff>
    </xdr:to>
    <xdr:sp macro="" textlink="">
      <xdr:nvSpPr>
        <xdr:cNvPr id="5" name="Rectángulo 4">
          <a:extLst>
            <a:ext uri="{FF2B5EF4-FFF2-40B4-BE49-F238E27FC236}">
              <a16:creationId xmlns:a16="http://schemas.microsoft.com/office/drawing/2014/main" id="{4280E6B9-0E71-43FA-8CEB-4721574C244B}"/>
            </a:ext>
          </a:extLst>
        </xdr:cNvPr>
        <xdr:cNvSpPr/>
      </xdr:nvSpPr>
      <xdr:spPr>
        <a:xfrm>
          <a:off x="3848101" y="600075"/>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638176</xdr:colOff>
      <xdr:row>2</xdr:row>
      <xdr:rowOff>9525</xdr:rowOff>
    </xdr:from>
    <xdr:to>
      <xdr:col>6</xdr:col>
      <xdr:colOff>714376</xdr:colOff>
      <xdr:row>2</xdr:row>
      <xdr:rowOff>190501</xdr:rowOff>
    </xdr:to>
    <xdr:sp macro="" textlink="">
      <xdr:nvSpPr>
        <xdr:cNvPr id="6" name="Rectángulo 5">
          <a:extLst>
            <a:ext uri="{FF2B5EF4-FFF2-40B4-BE49-F238E27FC236}">
              <a16:creationId xmlns:a16="http://schemas.microsoft.com/office/drawing/2014/main" id="{7B61F2BF-819E-4543-B049-731941B21B15}"/>
            </a:ext>
          </a:extLst>
        </xdr:cNvPr>
        <xdr:cNvSpPr/>
      </xdr:nvSpPr>
      <xdr:spPr>
        <a:xfrm>
          <a:off x="4000501" y="600075"/>
          <a:ext cx="76200" cy="180976"/>
        </a:xfrm>
        <a:prstGeom prst="rect">
          <a:avLst/>
        </a:prstGeom>
        <a:blipFill dpi="0" rotWithShape="1">
          <a:blip xmlns:r="http://schemas.openxmlformats.org/officeDocument/2006/relationships" r:embed="rId2"/>
          <a:srcRect/>
          <a:stretch>
            <a:fillRect l="-54000"/>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161926</xdr:colOff>
      <xdr:row>2</xdr:row>
      <xdr:rowOff>9525</xdr:rowOff>
    </xdr:from>
    <xdr:to>
      <xdr:col>4</xdr:col>
      <xdr:colOff>238126</xdr:colOff>
      <xdr:row>2</xdr:row>
      <xdr:rowOff>190501</xdr:rowOff>
    </xdr:to>
    <xdr:sp macro="" textlink="">
      <xdr:nvSpPr>
        <xdr:cNvPr id="7" name="Rectángulo 6">
          <a:extLst>
            <a:ext uri="{FF2B5EF4-FFF2-40B4-BE49-F238E27FC236}">
              <a16:creationId xmlns:a16="http://schemas.microsoft.com/office/drawing/2014/main" id="{0DB306C2-662B-421C-8A3A-7100A8388A55}"/>
            </a:ext>
          </a:extLst>
        </xdr:cNvPr>
        <xdr:cNvSpPr/>
      </xdr:nvSpPr>
      <xdr:spPr>
        <a:xfrm>
          <a:off x="1790701" y="6000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314326</xdr:colOff>
      <xdr:row>2</xdr:row>
      <xdr:rowOff>9525</xdr:rowOff>
    </xdr:from>
    <xdr:to>
      <xdr:col>4</xdr:col>
      <xdr:colOff>390526</xdr:colOff>
      <xdr:row>2</xdr:row>
      <xdr:rowOff>190501</xdr:rowOff>
    </xdr:to>
    <xdr:sp macro="" textlink="">
      <xdr:nvSpPr>
        <xdr:cNvPr id="8" name="Rectángulo 7">
          <a:extLst>
            <a:ext uri="{FF2B5EF4-FFF2-40B4-BE49-F238E27FC236}">
              <a16:creationId xmlns:a16="http://schemas.microsoft.com/office/drawing/2014/main" id="{DD4192EF-9936-4F01-BE77-56320F8EECFA}"/>
            </a:ext>
          </a:extLst>
        </xdr:cNvPr>
        <xdr:cNvSpPr/>
      </xdr:nvSpPr>
      <xdr:spPr>
        <a:xfrm>
          <a:off x="1943101" y="6000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485776</xdr:colOff>
      <xdr:row>2</xdr:row>
      <xdr:rowOff>9525</xdr:rowOff>
    </xdr:from>
    <xdr:to>
      <xdr:col>4</xdr:col>
      <xdr:colOff>561976</xdr:colOff>
      <xdr:row>2</xdr:row>
      <xdr:rowOff>190501</xdr:rowOff>
    </xdr:to>
    <xdr:sp macro="" textlink="">
      <xdr:nvSpPr>
        <xdr:cNvPr id="9" name="Rectángulo 8">
          <a:extLst>
            <a:ext uri="{FF2B5EF4-FFF2-40B4-BE49-F238E27FC236}">
              <a16:creationId xmlns:a16="http://schemas.microsoft.com/office/drawing/2014/main" id="{CDA6981F-40E2-4516-8790-003878DA4F91}"/>
            </a:ext>
          </a:extLst>
        </xdr:cNvPr>
        <xdr:cNvSpPr/>
      </xdr:nvSpPr>
      <xdr:spPr>
        <a:xfrm>
          <a:off x="2114551" y="6000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638176</xdr:colOff>
      <xdr:row>2</xdr:row>
      <xdr:rowOff>9525</xdr:rowOff>
    </xdr:from>
    <xdr:to>
      <xdr:col>4</xdr:col>
      <xdr:colOff>714376</xdr:colOff>
      <xdr:row>2</xdr:row>
      <xdr:rowOff>190501</xdr:rowOff>
    </xdr:to>
    <xdr:sp macro="" textlink="">
      <xdr:nvSpPr>
        <xdr:cNvPr id="10" name="Rectángulo 9">
          <a:extLst>
            <a:ext uri="{FF2B5EF4-FFF2-40B4-BE49-F238E27FC236}">
              <a16:creationId xmlns:a16="http://schemas.microsoft.com/office/drawing/2014/main" id="{9B5FD1B8-1210-4918-B9F9-FBCF7A4D86DC}"/>
            </a:ext>
          </a:extLst>
        </xdr:cNvPr>
        <xdr:cNvSpPr/>
      </xdr:nvSpPr>
      <xdr:spPr>
        <a:xfrm>
          <a:off x="2266951" y="600075"/>
          <a:ext cx="76200" cy="180976"/>
        </a:xfrm>
        <a:prstGeom prst="rect">
          <a:avLst/>
        </a:prstGeom>
        <a:blipFill dpi="0" rotWithShape="1">
          <a:blip xmlns:r="http://schemas.openxmlformats.org/officeDocument/2006/relationships" r:embed="rId2"/>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11</xdr:col>
      <xdr:colOff>381000</xdr:colOff>
      <xdr:row>39</xdr:row>
      <xdr:rowOff>61945</xdr:rowOff>
    </xdr:from>
    <xdr:to>
      <xdr:col>14</xdr:col>
      <xdr:colOff>310494</xdr:colOff>
      <xdr:row>42</xdr:row>
      <xdr:rowOff>342899</xdr:rowOff>
    </xdr:to>
    <xdr:pic>
      <xdr:nvPicPr>
        <xdr:cNvPr id="11" name="Imagen 10">
          <a:extLst>
            <a:ext uri="{FF2B5EF4-FFF2-40B4-BE49-F238E27FC236}">
              <a16:creationId xmlns:a16="http://schemas.microsoft.com/office/drawing/2014/main" id="{FD482130-680F-7EB4-D840-A891A568BE89}"/>
            </a:ext>
          </a:extLst>
        </xdr:cNvPr>
        <xdr:cNvPicPr>
          <a:picLocks noChangeAspect="1"/>
        </xdr:cNvPicPr>
      </xdr:nvPicPr>
      <xdr:blipFill rotWithShape="1">
        <a:blip xmlns:r="http://schemas.openxmlformats.org/officeDocument/2006/relationships" r:embed="rId3"/>
        <a:srcRect t="7017"/>
        <a:stretch/>
      </xdr:blipFill>
      <xdr:spPr>
        <a:xfrm>
          <a:off x="7896225" y="8986870"/>
          <a:ext cx="2291694" cy="1376329"/>
        </a:xfrm>
        <a:prstGeom prst="rect">
          <a:avLst/>
        </a:prstGeom>
      </xdr:spPr>
    </xdr:pic>
    <xdr:clientData/>
  </xdr:twoCellAnchor>
  <xdr:twoCellAnchor editAs="oneCell">
    <xdr:from>
      <xdr:col>11</xdr:col>
      <xdr:colOff>371475</xdr:colOff>
      <xdr:row>33</xdr:row>
      <xdr:rowOff>23846</xdr:rowOff>
    </xdr:from>
    <xdr:to>
      <xdr:col>14</xdr:col>
      <xdr:colOff>338012</xdr:colOff>
      <xdr:row>38</xdr:row>
      <xdr:rowOff>171449</xdr:rowOff>
    </xdr:to>
    <xdr:pic>
      <xdr:nvPicPr>
        <xdr:cNvPr id="12" name="Imagen 11">
          <a:extLst>
            <a:ext uri="{FF2B5EF4-FFF2-40B4-BE49-F238E27FC236}">
              <a16:creationId xmlns:a16="http://schemas.microsoft.com/office/drawing/2014/main" id="{A5114793-DDE4-DD9A-4EAA-B5CC93C51742}"/>
            </a:ext>
          </a:extLst>
        </xdr:cNvPr>
        <xdr:cNvPicPr>
          <a:picLocks noChangeAspect="1"/>
        </xdr:cNvPicPr>
      </xdr:nvPicPr>
      <xdr:blipFill>
        <a:blip xmlns:r="http://schemas.openxmlformats.org/officeDocument/2006/relationships" r:embed="rId4"/>
        <a:stretch>
          <a:fillRect/>
        </a:stretch>
      </xdr:blipFill>
      <xdr:spPr>
        <a:xfrm>
          <a:off x="7886700" y="7758146"/>
          <a:ext cx="2328737" cy="1138203"/>
        </a:xfrm>
        <a:prstGeom prst="rect">
          <a:avLst/>
        </a:prstGeom>
      </xdr:spPr>
    </xdr:pic>
    <xdr:clientData/>
  </xdr:twoCellAnchor>
  <xdr:twoCellAnchor editAs="oneCell">
    <xdr:from>
      <xdr:col>9</xdr:col>
      <xdr:colOff>171449</xdr:colOff>
      <xdr:row>68</xdr:row>
      <xdr:rowOff>47625</xdr:rowOff>
    </xdr:from>
    <xdr:to>
      <xdr:col>13</xdr:col>
      <xdr:colOff>531674</xdr:colOff>
      <xdr:row>81</xdr:row>
      <xdr:rowOff>238125</xdr:rowOff>
    </xdr:to>
    <xdr:pic>
      <xdr:nvPicPr>
        <xdr:cNvPr id="13" name="Imagen 12">
          <a:extLst>
            <a:ext uri="{FF2B5EF4-FFF2-40B4-BE49-F238E27FC236}">
              <a16:creationId xmlns:a16="http://schemas.microsoft.com/office/drawing/2014/main" id="{ECE41898-B015-AC0C-402B-FB8E2EC1FB95}"/>
            </a:ext>
          </a:extLst>
        </xdr:cNvPr>
        <xdr:cNvPicPr>
          <a:picLocks noChangeAspect="1"/>
        </xdr:cNvPicPr>
      </xdr:nvPicPr>
      <xdr:blipFill>
        <a:blip xmlns:r="http://schemas.openxmlformats.org/officeDocument/2006/relationships" r:embed="rId5"/>
        <a:stretch>
          <a:fillRect/>
        </a:stretch>
      </xdr:blipFill>
      <xdr:spPr>
        <a:xfrm>
          <a:off x="6924674" y="15859125"/>
          <a:ext cx="3484425" cy="2933700"/>
        </a:xfrm>
        <a:prstGeom prst="rect">
          <a:avLst/>
        </a:prstGeom>
      </xdr:spPr>
    </xdr:pic>
    <xdr:clientData/>
  </xdr:twoCellAnchor>
  <xdr:oneCellAnchor>
    <xdr:from>
      <xdr:col>6</xdr:col>
      <xdr:colOff>328611</xdr:colOff>
      <xdr:row>13</xdr:row>
      <xdr:rowOff>19051</xdr:rowOff>
    </xdr:from>
    <xdr:ext cx="2024063" cy="390524"/>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9853,33</m:t>
                        </m:r>
                      </m:den>
                    </m:f>
                    <m:r>
                      <a:rPr lang="es-ES" sz="1100" b="0" i="1">
                        <a:latin typeface="Cambria Math" panose="02040503050406030204" pitchFamily="18" charset="0"/>
                      </a:rPr>
                      <m:t>=0,1%</m:t>
                    </m:r>
                  </m:oMath>
                </m:oMathPara>
              </a14:m>
              <a:endParaRPr lang="es-ES" sz="1100" b="0"/>
            </a:p>
            <a:p>
              <a:endParaRPr lang="es-ES" sz="1100"/>
            </a:p>
          </xdr:txBody>
        </xdr:sp>
      </mc:Choice>
      <mc:Fallback xmlns="">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∗10/9853,33=0,1%</a:t>
              </a:r>
              <a:endParaRPr lang="es-ES" sz="1100" b="0"/>
            </a:p>
            <a:p>
              <a:endParaRPr lang="es-ES" sz="1100"/>
            </a:p>
          </xdr:txBody>
        </xdr:sp>
      </mc:Fallback>
    </mc:AlternateContent>
    <xdr:clientData/>
  </xdr:oneCellAnchor>
  <xdr:oneCellAnchor>
    <xdr:from>
      <xdr:col>6</xdr:col>
      <xdr:colOff>328611</xdr:colOff>
      <xdr:row>14</xdr:row>
      <xdr:rowOff>47626</xdr:rowOff>
    </xdr:from>
    <xdr:ext cx="2024063" cy="390524"/>
    <mc:AlternateContent xmlns:mc="http://schemas.openxmlformats.org/markup-compatibility/2006" xmlns:a14="http://schemas.microsoft.com/office/drawing/2010/main">
      <mc:Choice Requires="a14">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4596,67</m:t>
                        </m:r>
                      </m:den>
                    </m:f>
                    <m:r>
                      <a:rPr lang="es-ES" sz="1100" b="0" i="1">
                        <a:latin typeface="Cambria Math" panose="02040503050406030204" pitchFamily="18" charset="0"/>
                      </a:rPr>
                      <m:t>=0,218%</m:t>
                    </m:r>
                  </m:oMath>
                </m:oMathPara>
              </a14:m>
              <a:endParaRPr lang="es-ES" sz="1100" b="0"/>
            </a:p>
            <a:p>
              <a:endParaRPr lang="es-ES" sz="1100"/>
            </a:p>
          </xdr:txBody>
        </xdr:sp>
      </mc:Choice>
      <mc:Fallback xmlns="">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∗10/4596,67=0,218%</a:t>
              </a:r>
              <a:endParaRPr lang="es-ES" sz="1100" b="0"/>
            </a:p>
            <a:p>
              <a:endParaRPr lang="es-ES" sz="1100"/>
            </a:p>
          </xdr:txBody>
        </xdr:sp>
      </mc:Fallback>
    </mc:AlternateContent>
    <xdr:clientData/>
  </xdr:oneCellAnchor>
  <xdr:oneCellAnchor>
    <xdr:from>
      <xdr:col>6</xdr:col>
      <xdr:colOff>328611</xdr:colOff>
      <xdr:row>39</xdr:row>
      <xdr:rowOff>19051</xdr:rowOff>
    </xdr:from>
    <xdr:ext cx="2024063" cy="390524"/>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14513,33</m:t>
                        </m:r>
                      </m:den>
                    </m:f>
                    <m:r>
                      <a:rPr lang="es-ES" sz="1100" b="0" i="1">
                        <a:latin typeface="Cambria Math" panose="02040503050406030204" pitchFamily="18" charset="0"/>
                      </a:rPr>
                      <m:t>=0,07%</m:t>
                    </m:r>
                  </m:oMath>
                </m:oMathPara>
              </a14:m>
              <a:endParaRPr lang="es-ES" sz="1100" b="0"/>
            </a:p>
            <a:p>
              <a:endParaRPr lang="es-ES" sz="1100"/>
            </a:p>
          </xdr:txBody>
        </xdr:sp>
      </mc:Choice>
      <mc:Fallback xmlns="">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∗10/14513,33=0,07%</a:t>
              </a:r>
              <a:endParaRPr lang="es-ES" sz="1100" b="0"/>
            </a:p>
            <a:p>
              <a:endParaRPr lang="es-ES" sz="1100"/>
            </a:p>
          </xdr:txBody>
        </xdr:sp>
      </mc:Fallback>
    </mc:AlternateContent>
    <xdr:clientData/>
  </xdr:oneCellAnchor>
  <xdr:oneCellAnchor>
    <xdr:from>
      <xdr:col>6</xdr:col>
      <xdr:colOff>328611</xdr:colOff>
      <xdr:row>40</xdr:row>
      <xdr:rowOff>47626</xdr:rowOff>
    </xdr:from>
    <xdr:ext cx="2024063" cy="390524"/>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3</m:t>
                        </m:r>
                      </m:num>
                      <m:den>
                        <m:r>
                          <a:rPr lang="es-ES" sz="1100" b="0" i="1">
                            <a:latin typeface="Cambria Math" panose="02040503050406030204" pitchFamily="18" charset="0"/>
                          </a:rPr>
                          <m:t>3186,3</m:t>
                        </m:r>
                      </m:den>
                    </m:f>
                    <m:r>
                      <a:rPr lang="es-ES" sz="1100" b="0" i="1">
                        <a:latin typeface="Cambria Math" panose="02040503050406030204" pitchFamily="18" charset="0"/>
                      </a:rPr>
                      <m:t>=0,094%</m:t>
                    </m:r>
                  </m:oMath>
                </m:oMathPara>
              </a14:m>
              <a:endParaRPr lang="es-ES" sz="1100" b="0"/>
            </a:p>
            <a:p>
              <a:endParaRPr lang="es-ES" sz="1100"/>
            </a:p>
          </xdr:txBody>
        </xdr:sp>
      </mc:Choice>
      <mc:Fallback xmlns="">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∗3/3186,3=0,094%</a:t>
              </a:r>
              <a:endParaRPr lang="es-ES" sz="1100" b="0"/>
            </a:p>
            <a:p>
              <a:endParaRPr lang="es-ES" sz="1100"/>
            </a:p>
          </xdr:txBody>
        </xdr:sp>
      </mc:Fallback>
    </mc:AlternateContent>
    <xdr:clientData/>
  </xdr:oneCellAnchor>
  <xdr:oneCellAnchor>
    <xdr:from>
      <xdr:col>3</xdr:col>
      <xdr:colOff>240195</xdr:colOff>
      <xdr:row>80</xdr:row>
      <xdr:rowOff>41412</xdr:rowOff>
    </xdr:from>
    <xdr:ext cx="3586370" cy="554935"/>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14:m>
                <m:oMath xmlns:m="http://schemas.openxmlformats.org/officeDocument/2006/math">
                  <m:r>
                    <a:rPr lang="es-ES" sz="1400" b="0" i="1">
                      <a:latin typeface="Cambria Math" panose="02040503050406030204" pitchFamily="18" charset="0"/>
                    </a:rPr>
                    <m:t>𝐼</m:t>
                  </m:r>
                  <m:r>
                    <a:rPr lang="es-ES" sz="1400" b="0" i="1">
                      <a:latin typeface="Cambria Math" panose="02040503050406030204" pitchFamily="18" charset="0"/>
                    </a:rPr>
                    <m:t>=</m:t>
                  </m:r>
                  <m:r>
                    <a:rPr lang="es-ES" sz="1400" b="0" i="1">
                      <a:latin typeface="Cambria Math" panose="02040503050406030204" pitchFamily="18" charset="0"/>
                    </a:rPr>
                    <m:t>𝑐𝑡𝑒</m:t>
                  </m:r>
                  <m:r>
                    <a:rPr lang="es-ES" sz="1400" b="0" i="1">
                      <a:latin typeface="Cambria Math" panose="02040503050406030204" pitchFamily="18" charset="0"/>
                    </a:rPr>
                    <m:t>=</m:t>
                  </m:r>
                  <m:f>
                    <m:fPr>
                      <m:ctrlPr>
                        <a:rPr lang="es-ES" sz="1400" b="0" i="1">
                          <a:latin typeface="Cambria Math" panose="02040503050406030204" pitchFamily="18" charset="0"/>
                        </a:rPr>
                      </m:ctrlPr>
                    </m:fPr>
                    <m:num>
                      <m:sSub>
                        <m:sSubPr>
                          <m:ctrlPr>
                            <a:rPr lang="es-ES" sz="1400" b="0" i="1">
                              <a:latin typeface="Cambria Math" panose="02040503050406030204" pitchFamily="18" charset="0"/>
                            </a:rPr>
                          </m:ctrlPr>
                        </m:sSubPr>
                        <m:e>
                          <m:r>
                            <a:rPr lang="es-ES" sz="1400" b="0" i="1">
                              <a:latin typeface="Cambria Math" panose="02040503050406030204" pitchFamily="18" charset="0"/>
                            </a:rPr>
                            <m:t>𝑉</m:t>
                          </m:r>
                        </m:e>
                        <m:sub>
                          <m:r>
                            <a:rPr lang="es-ES" sz="1400" b="0" i="1">
                              <a:latin typeface="Cambria Math" panose="02040503050406030204" pitchFamily="18" charset="0"/>
                            </a:rPr>
                            <m:t>𝐵𝐶</m:t>
                          </m:r>
                        </m:sub>
                      </m:sSub>
                    </m:num>
                    <m:den>
                      <m:sSub>
                        <m:sSubPr>
                          <m:ctrlPr>
                            <a:rPr lang="es-ES" sz="1400" b="0" i="1">
                              <a:latin typeface="Cambria Math" panose="02040503050406030204" pitchFamily="18" charset="0"/>
                            </a:rPr>
                          </m:ctrlPr>
                        </m:sSubPr>
                        <m:e>
                          <m:r>
                            <a:rPr lang="es-ES" sz="1400" b="0" i="1">
                              <a:latin typeface="Cambria Math" panose="02040503050406030204" pitchFamily="18" charset="0"/>
                            </a:rPr>
                            <m:t>𝑅</m:t>
                          </m:r>
                        </m:e>
                        <m:sub>
                          <m:r>
                            <a:rPr lang="es-ES" sz="1400" b="0" i="1">
                              <a:latin typeface="Cambria Math" panose="02040503050406030204" pitchFamily="18" charset="0"/>
                            </a:rPr>
                            <m:t>1</m:t>
                          </m:r>
                        </m:sub>
                      </m:sSub>
                    </m:den>
                  </m:f>
                  <m:r>
                    <a:rPr lang="es-ES" sz="1400" b="0" i="1">
                      <a:latin typeface="Cambria Math" panose="02040503050406030204" pitchFamily="18" charset="0"/>
                    </a:rPr>
                    <m:t>= </m:t>
                  </m:r>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     despejando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𝐵𝐶</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den>
                  </m:f>
                </m:oMath>
              </a14:m>
              <a:r>
                <a:rPr lang="es-ES" sz="1400" baseline="0"/>
                <a:t> =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1</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a:t>
              </a:r>
            </a:p>
          </xdr:txBody>
        </xdr:sp>
      </mc:Choice>
      <mc:Fallback xmlns="">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s-ES" sz="1400" b="0" i="0">
                  <a:latin typeface="Cambria Math" panose="02040503050406030204" pitchFamily="18" charset="0"/>
                </a:rPr>
                <a:t>𝐼=𝑐𝑡𝑒=𝑉_𝐵𝐶/𝑅_1 = </a:t>
              </a:r>
              <a:r>
                <a:rPr lang="es-ES" sz="1400" b="0" i="0">
                  <a:solidFill>
                    <a:schemeClr val="tx1"/>
                  </a:solidFill>
                  <a:effectLst/>
                  <a:latin typeface="+mn-lt"/>
                  <a:ea typeface="+mn-ea"/>
                  <a:cs typeface="+mn-cs"/>
                </a:rPr>
                <a:t> 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     despejando    </a:t>
              </a:r>
              <a:r>
                <a:rPr lang="es-ES" sz="1400" b="0" i="0">
                  <a:solidFill>
                    <a:schemeClr val="tx1"/>
                  </a:solidFill>
                  <a:effectLst/>
                  <a:latin typeface="+mn-lt"/>
                  <a:ea typeface="+mn-ea"/>
                  <a:cs typeface="+mn-cs"/>
                </a:rPr>
                <a:t>𝑉_𝐵𝐶/𝑉_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 </a:t>
              </a:r>
              <a:r>
                <a:rPr lang="es-ES" sz="1400" baseline="0"/>
                <a:t> = </a:t>
              </a:r>
              <a:r>
                <a:rPr lang="es-ES" sz="1400" b="0" i="0">
                  <a:solidFill>
                    <a:schemeClr val="tx1"/>
                  </a:solidFill>
                  <a:effectLst/>
                  <a:latin typeface="+mn-lt"/>
                  <a:ea typeface="+mn-ea"/>
                  <a:cs typeface="+mn-cs"/>
                </a:rPr>
                <a:t>𝑅_1/𝑅_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a:t>
              </a:r>
            </a:p>
          </xdr:txBody>
        </xdr:sp>
      </mc:Fallback>
    </mc:AlternateContent>
    <xdr:clientData/>
  </xdr:oneCellAnchor>
  <xdr:oneCellAnchor>
    <xdr:from>
      <xdr:col>8</xdr:col>
      <xdr:colOff>9524</xdr:colOff>
      <xdr:row>47</xdr:row>
      <xdr:rowOff>29308</xdr:rowOff>
    </xdr:from>
    <xdr:ext cx="6159745" cy="238126"/>
    <mc:AlternateContent xmlns:mc="http://schemas.openxmlformats.org/markup-compatibility/2006">
      <mc:Choice xmlns:a14="http://schemas.microsoft.com/office/drawing/2010/main" Requires="a14">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2</m:t>
                        </m:r>
                      </m:sub>
                    </m:sSub>
                    <m:r>
                      <a:rPr lang="es-ES" sz="1100" b="0" i="1">
                        <a:latin typeface="Cambria Math" panose="02040503050406030204" pitchFamily="18" charset="0"/>
                      </a:rPr>
                      <m:t>=9850+4600=14450 </m:t>
                    </m:r>
                    <m:r>
                      <m:rPr>
                        <m:sty m:val="p"/>
                      </m:rPr>
                      <a:rPr lang="el-GR" sz="1100" b="0" i="1">
                        <a:latin typeface="Cambria Math" panose="02040503050406030204" pitchFamily="18" charset="0"/>
                        <a:ea typeface="Cambria Math" panose="02040503050406030204" pitchFamily="18" charset="0"/>
                      </a:rPr>
                      <m:t>Ω</m:t>
                    </m:r>
                  </m:oMath>
                </m:oMathPara>
              </a14:m>
              <a:endParaRPr lang="es-ES" sz="1100" b="0">
                <a:ea typeface="Cambria Math" panose="02040503050406030204" pitchFamily="18" charset="0"/>
              </a:endParaRPr>
            </a:p>
            <a:p>
              <a:endParaRPr lang="es-ES" sz="1100"/>
            </a:p>
            <a:p>
              <a:endParaRPr lang="es-ES" sz="1100"/>
            </a:p>
          </xdr:txBody>
        </xdr:sp>
      </mc:Choice>
      <mc:Fallback>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𝑅_𝑠=𝑅_1+𝑅_2=9850+4600=14450 </a:t>
              </a:r>
              <a:r>
                <a:rPr lang="el-GR" sz="1100" b="0" i="0">
                  <a:latin typeface="Cambria Math" panose="02040503050406030204" pitchFamily="18" charset="0"/>
                  <a:ea typeface="Cambria Math" panose="02040503050406030204" pitchFamily="18" charset="0"/>
                </a:rPr>
                <a:t>Ω</a:t>
              </a:r>
              <a:endParaRPr lang="es-ES" sz="1100" b="0">
                <a:ea typeface="Cambria Math" panose="02040503050406030204" pitchFamily="18" charset="0"/>
              </a:endParaRPr>
            </a:p>
            <a:p>
              <a:endParaRPr lang="es-ES" sz="1100"/>
            </a:p>
            <a:p>
              <a:endParaRPr lang="es-ES" sz="1100"/>
            </a:p>
          </xdr:txBody>
        </xdr:sp>
      </mc:Fallback>
    </mc:AlternateContent>
    <xdr:clientData/>
  </xdr:oneCellAnchor>
  <xdr:oneCellAnchor>
    <xdr:from>
      <xdr:col>8</xdr:col>
      <xdr:colOff>9524</xdr:colOff>
      <xdr:row>48</xdr:row>
      <xdr:rowOff>76201</xdr:rowOff>
    </xdr:from>
    <xdr:ext cx="6159745" cy="361950"/>
    <mc:AlternateContent xmlns:mc="http://schemas.openxmlformats.org/markup-compatibility/2006">
      <mc:Choice xmlns:a14="http://schemas.microsoft.com/office/drawing/2010/main" Requires="a14">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𝑠</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𝑠</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𝑠</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=1·</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0">
                        <a:solidFill>
                          <a:schemeClr val="tx1"/>
                        </a:solidFill>
                        <a:effectLst/>
                        <a:latin typeface="Cambria Math" panose="02040503050406030204" pitchFamily="18" charset="0"/>
                        <a:ea typeface="+mn-ea"/>
                        <a:cs typeface="+mn-cs"/>
                      </a:rPr>
                      <m:t>+1·</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r>
                      <a:rPr lang="es-ES" sz="1100" b="0" i="0">
                        <a:solidFill>
                          <a:schemeClr val="tx1"/>
                        </a:solidFill>
                        <a:effectLst/>
                        <a:latin typeface="Cambria Math" panose="02040503050406030204" pitchFamily="18" charset="0"/>
                        <a:ea typeface="+mn-ea"/>
                        <a:cs typeface="+mn-cs"/>
                      </a:rPr>
                      <m:t>10+10=20</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a:effectLst/>
              </a:endParaRPr>
            </a:p>
            <a:p>
              <a:endParaRPr lang="es-ES" sz="1100"/>
            </a:p>
            <a:p>
              <a:endParaRPr lang="es-ES" sz="1100"/>
            </a:p>
          </xdr:txBody>
        </xdr:sp>
      </mc:Choice>
      <mc:Fallback>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𝑠=(𝜕</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2=10+10=20</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a:effectLst/>
              </a:endParaRPr>
            </a:p>
            <a:p>
              <a:endParaRPr lang="es-ES" sz="1100"/>
            </a:p>
            <a:p>
              <a:endParaRPr lang="es-ES" sz="1100"/>
            </a:p>
          </xdr:txBody>
        </xdr:sp>
      </mc:Fallback>
    </mc:AlternateContent>
    <xdr:clientData/>
  </xdr:oneCellAnchor>
  <xdr:oneCellAnchor>
    <xdr:from>
      <xdr:col>8</xdr:col>
      <xdr:colOff>23811</xdr:colOff>
      <xdr:row>50</xdr:row>
      <xdr:rowOff>84534</xdr:rowOff>
    </xdr:from>
    <xdr:ext cx="6138132" cy="361950"/>
    <mc:AlternateContent xmlns:mc="http://schemas.openxmlformats.org/markup-compatibility/2006">
      <mc:Choice xmlns:a14="http://schemas.microsoft.com/office/drawing/2010/main" Requires="a14">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9850·4600</m:t>
                        </m:r>
                      </m:num>
                      <m:den>
                        <m:r>
                          <a:rPr lang="es-ES" sz="1100" b="0" i="1">
                            <a:latin typeface="Cambria Math" panose="02040503050406030204" pitchFamily="18" charset="0"/>
                            <a:ea typeface="Cambria Math" panose="02040503050406030204" pitchFamily="18" charset="0"/>
                          </a:rPr>
                          <m:t>9850+4600</m:t>
                        </m:r>
                      </m:den>
                    </m:f>
                    <m:r>
                      <a:rPr lang="es-ES" sz="1100" b="0" i="1">
                        <a:latin typeface="Cambria Math" panose="02040503050406030204" pitchFamily="18" charset="0"/>
                        <a:ea typeface="Cambria Math" panose="02040503050406030204" pitchFamily="18" charset="0"/>
                      </a:rPr>
                      <m:t>=3135,64</m:t>
                    </m:r>
                    <m:r>
                      <m:rPr>
                        <m:sty m:val="p"/>
                      </m:rPr>
                      <a:rPr lang="el-GR" sz="1100" b="0" i="1">
                        <a:latin typeface="Cambria Math" panose="02040503050406030204" pitchFamily="18" charset="0"/>
                        <a:ea typeface="Cambria Math" panose="02040503050406030204" pitchFamily="18" charset="0"/>
                      </a:rPr>
                      <m:t>Ω</m:t>
                    </m:r>
                  </m:oMath>
                </m:oMathPara>
              </a14:m>
              <a:endParaRPr lang="es-ES" sz="1100"/>
            </a:p>
            <a:p>
              <a:endParaRPr lang="es-ES" sz="1100"/>
            </a:p>
          </xdr:txBody>
        </xdr:sp>
      </mc:Choice>
      <mc:Fallback>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=(9850·4600)/(9850+4600)=3135,64</a:t>
              </a:r>
              <a:r>
                <a:rPr lang="el-GR" sz="1100" b="0" i="0">
                  <a:latin typeface="Cambria Math" panose="02040503050406030204" pitchFamily="18" charset="0"/>
                  <a:ea typeface="Cambria Math" panose="02040503050406030204" pitchFamily="18" charset="0"/>
                </a:rPr>
                <a:t>Ω</a:t>
              </a:r>
              <a:endParaRPr lang="es-ES" sz="1100"/>
            </a:p>
            <a:p>
              <a:endParaRPr lang="es-ES" sz="1100"/>
            </a:p>
          </xdr:txBody>
        </xdr:sp>
      </mc:Fallback>
    </mc:AlternateContent>
    <xdr:clientData/>
  </xdr:oneCellAnchor>
  <xdr:oneCellAnchor>
    <xdr:from>
      <xdr:col>7</xdr:col>
      <xdr:colOff>863201</xdr:colOff>
      <xdr:row>52</xdr:row>
      <xdr:rowOff>95250</xdr:rowOff>
    </xdr:from>
    <xdr:ext cx="6179345" cy="1055077"/>
    <mc:AlternateContent xmlns:mc="http://schemas.openxmlformats.org/markup-compatibility/2006">
      <mc:Choice xmlns:a14="http://schemas.microsoft.com/office/drawing/2010/main" Requires="a14">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
                          <m:dPr>
                            <m:ctrlPr>
                              <a:rPr lang="es-ES" sz="1100" b="0" i="1">
                                <a:solidFill>
                                  <a:schemeClr val="tx1"/>
                                </a:solidFill>
                                <a:effectLst/>
                                <a:latin typeface="Cambria Math" panose="02040503050406030204" pitchFamily="18" charset="0"/>
                                <a:ea typeface="+mn-ea"/>
                                <a:cs typeface="+mn-cs"/>
                              </a:rPr>
                            </m:ctrlPr>
                          </m:dPr>
                          <m:e>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e>
                        </m:d>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0">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
                          <m:dPr>
                            <m:ctrlPr>
                              <a:rPr lang="es-ES" sz="1100" b="0" i="1">
                                <a:solidFill>
                                  <a:schemeClr val="tx1"/>
                                </a:solidFill>
                                <a:effectLst/>
                                <a:latin typeface="+mn-lt"/>
                                <a:ea typeface="+mn-ea"/>
                                <a:cs typeface="+mn-cs"/>
                              </a:rPr>
                            </m:ctrlPr>
                          </m:dPr>
                          <m:e>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e>
                        </m:d>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mn-lt"/>
                            <a:ea typeface="+mn-ea"/>
                            <a:cs typeface="+mn-cs"/>
                          </a:rPr>
                          <m:t>)</m:t>
                        </m:r>
                      </m:num>
                      <m:den>
                        <m:sSup>
                          <m:sSupPr>
                            <m:ctrlPr>
                              <a:rPr lang="es-ES" sz="1100" b="0" i="1">
                                <a:solidFill>
                                  <a:schemeClr val="tx1"/>
                                </a:solidFill>
                                <a:effectLst/>
                                <a:latin typeface="+mn-lt"/>
                                <a:ea typeface="+mn-ea"/>
                                <a:cs typeface="+mn-cs"/>
                              </a:rPr>
                            </m:ctrlPr>
                          </m:sSupPr>
                          <m:e>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mn-lt"/>
                                <a:ea typeface="+mn-ea"/>
                                <a:cs typeface="+mn-cs"/>
                              </a:rPr>
                              <m:t>)</m:t>
                            </m:r>
                          </m:e>
                          <m:sup>
                            <m:r>
                              <a:rPr lang="es-ES" sz="1100" b="0" i="1">
                                <a:solidFill>
                                  <a:schemeClr val="tx1"/>
                                </a:solidFill>
                                <a:effectLst/>
                                <a:latin typeface="+mn-lt"/>
                                <a:ea typeface="+mn-ea"/>
                                <a:cs typeface="+mn-cs"/>
                              </a:rPr>
                              <m:t>2</m:t>
                            </m:r>
                          </m:sup>
                        </m:sSup>
                      </m:den>
                    </m:f>
                    <m:r>
                      <a:rPr lang="es-ES" sz="1100" b="0" i="0">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4600</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9850+4600</m:t>
                            </m:r>
                          </m:e>
                        </m:d>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9850</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4600</m:t>
                        </m:r>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9850+4600</m:t>
                            </m:r>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0">
                        <a:solidFill>
                          <a:schemeClr val="tx1"/>
                        </a:solidFill>
                        <a:effectLst/>
                        <a:latin typeface="Cambria Math" panose="02040503050406030204" pitchFamily="18" charset="0"/>
                        <a:ea typeface="+mn-ea"/>
                        <a:cs typeface="+mn-cs"/>
                      </a:rPr>
                      <m:t>·10+</m:t>
                    </m:r>
                    <m:f>
                      <m:fPr>
                        <m:ctrlPr>
                          <a:rPr lang="es-ES" sz="1100" b="0" i="1">
                            <a:solidFill>
                              <a:schemeClr val="tx1"/>
                            </a:solidFill>
                            <a:effectLst/>
                            <a:latin typeface="+mn-lt"/>
                            <a:ea typeface="+mn-ea"/>
                            <a:cs typeface="+mn-cs"/>
                          </a:rPr>
                        </m:ctrlPr>
                      </m:fPr>
                      <m:num>
                        <m:r>
                          <a:rPr lang="es-ES" sz="1100" b="0" i="1">
                            <a:solidFill>
                              <a:schemeClr val="tx1"/>
                            </a:solidFill>
                            <a:effectLst/>
                            <a:latin typeface="Cambria Math" panose="02040503050406030204" pitchFamily="18" charset="0"/>
                            <a:ea typeface="+mn-ea"/>
                            <a:cs typeface="+mn-cs"/>
                          </a:rPr>
                          <m:t>9850</m:t>
                        </m:r>
                        <m:d>
                          <m:dPr>
                            <m:ctrlPr>
                              <a:rPr lang="es-ES" sz="1100" b="0" i="1">
                                <a:solidFill>
                                  <a:schemeClr val="tx1"/>
                                </a:solidFill>
                                <a:effectLst/>
                                <a:latin typeface="+mn-lt"/>
                                <a:ea typeface="+mn-ea"/>
                                <a:cs typeface="+mn-cs"/>
                              </a:rPr>
                            </m:ctrlPr>
                          </m:dPr>
                          <m:e>
                            <m:r>
                              <a:rPr lang="es-ES" sz="1100" b="0" i="1">
                                <a:solidFill>
                                  <a:schemeClr val="tx1"/>
                                </a:solidFill>
                                <a:effectLst/>
                                <a:latin typeface="+mn-lt"/>
                                <a:ea typeface="+mn-ea"/>
                                <a:cs typeface="+mn-cs"/>
                              </a:rPr>
                              <m:t>9850+4600</m:t>
                            </m:r>
                          </m:e>
                        </m:d>
                        <m:r>
                          <a:rPr lang="es-ES" sz="1100" b="0" i="1">
                            <a:solidFill>
                              <a:schemeClr val="tx1"/>
                            </a:solidFill>
                            <a:effectLst/>
                            <a:latin typeface="+mn-lt"/>
                            <a:ea typeface="+mn-ea"/>
                            <a:cs typeface="+mn-cs"/>
                          </a:rPr>
                          <m:t>−(9850·4600)</m:t>
                        </m:r>
                      </m:num>
                      <m:den>
                        <m:sSup>
                          <m:sSupPr>
                            <m:ctrlPr>
                              <a:rPr lang="es-ES" sz="1100" b="0" i="1">
                                <a:solidFill>
                                  <a:schemeClr val="tx1"/>
                                </a:solidFill>
                                <a:effectLst/>
                                <a:latin typeface="+mn-lt"/>
                                <a:ea typeface="+mn-ea"/>
                                <a:cs typeface="+mn-cs"/>
                              </a:rPr>
                            </m:ctrlPr>
                          </m:sSupPr>
                          <m:e>
                            <m:r>
                              <a:rPr lang="es-ES" sz="1100" b="0" i="1">
                                <a:solidFill>
                                  <a:schemeClr val="tx1"/>
                                </a:solidFill>
                                <a:effectLst/>
                                <a:latin typeface="+mn-lt"/>
                                <a:ea typeface="+mn-ea"/>
                                <a:cs typeface="+mn-cs"/>
                              </a:rPr>
                              <m:t>(9850+4600)</m:t>
                            </m:r>
                          </m:e>
                          <m:sup>
                            <m:r>
                              <a:rPr lang="es-ES" sz="1100" b="0" i="1">
                                <a:solidFill>
                                  <a:schemeClr val="tx1"/>
                                </a:solidFill>
                                <a:effectLst/>
                                <a:latin typeface="+mn-lt"/>
                                <a:ea typeface="+mn-ea"/>
                                <a:cs typeface="+mn-cs"/>
                              </a:rPr>
                              <m:t>2</m:t>
                            </m:r>
                          </m:sup>
                        </m:sSup>
                      </m:den>
                    </m:f>
                    <m:r>
                      <a:rPr lang="es-ES" sz="1100" b="0" i="0">
                        <a:solidFill>
                          <a:schemeClr val="tx1"/>
                        </a:solidFill>
                        <a:effectLst/>
                        <a:latin typeface="+mn-lt"/>
                        <a:ea typeface="+mn-ea"/>
                        <a:cs typeface="+mn-cs"/>
                      </a:rPr>
                      <m:t>·10</m:t>
                    </m:r>
                    <m:r>
                      <a:rPr lang="es-ES" sz="1100" b="0" i="0">
                        <a:solidFill>
                          <a:schemeClr val="tx1"/>
                        </a:solidFill>
                        <a:effectLst/>
                        <a:latin typeface="Cambria Math" panose="02040503050406030204" pitchFamily="18" charset="0"/>
                        <a:ea typeface="+mn-ea"/>
                        <a:cs typeface="+mn-cs"/>
                      </a:rPr>
                      <m:t>=5,66</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sz="1100"/>
            </a:p>
            <a:p>
              <a:endParaRPr lang="es-ES" sz="1100"/>
            </a:p>
          </xdr:txBody>
        </xdr:sp>
      </mc:Choice>
      <mc:Fallback>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)〗^2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2=(4600(9850+4600)−(</a:t>
              </a:r>
              <a:r>
                <a:rPr lang="es-ES" sz="1100" b="0" i="0">
                  <a:solidFill>
                    <a:schemeClr val="tx1"/>
                  </a:solidFill>
                  <a:effectLst/>
                  <a:latin typeface="+mn-lt"/>
                  <a:ea typeface="+mn-ea"/>
                  <a:cs typeface="+mn-cs"/>
                </a:rPr>
                <a:t>9850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4600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9850+4600</a:t>
              </a:r>
              <a:r>
                <a:rPr lang="es-ES" sz="1100" b="0" i="0">
                  <a:solidFill>
                    <a:schemeClr val="tx1"/>
                  </a:solidFill>
                  <a:effectLst/>
                  <a:latin typeface="Cambria Math" panose="02040503050406030204" pitchFamily="18" charset="0"/>
                  <a:ea typeface="+mn-ea"/>
                  <a:cs typeface="+mn-cs"/>
                </a:rPr>
                <a:t>)〗^2 ·10+</a:t>
              </a:r>
              <a:r>
                <a:rPr lang="es-ES" sz="1100" b="0" i="0">
                  <a:solidFill>
                    <a:schemeClr val="tx1"/>
                  </a:solidFill>
                  <a:effectLst/>
                  <a:latin typeface="+mn-lt"/>
                  <a:ea typeface="+mn-ea"/>
                  <a:cs typeface="+mn-cs"/>
                </a:rPr>
                <a:t>(</a:t>
              </a:r>
              <a:r>
                <a:rPr lang="es-ES" sz="1100" b="0" i="0">
                  <a:solidFill>
                    <a:schemeClr val="tx1"/>
                  </a:solidFill>
                  <a:effectLst/>
                  <a:latin typeface="Cambria Math" panose="02040503050406030204" pitchFamily="18" charset="0"/>
                  <a:ea typeface="+mn-ea"/>
                  <a:cs typeface="+mn-cs"/>
                </a:rPr>
                <a:t>9850</a:t>
              </a:r>
              <a:r>
                <a:rPr lang="es-ES" sz="1100" b="0" i="0">
                  <a:solidFill>
                    <a:schemeClr val="tx1"/>
                  </a:solidFill>
                  <a:effectLst/>
                  <a:latin typeface="+mn-lt"/>
                  <a:ea typeface="+mn-ea"/>
                  <a:cs typeface="+mn-cs"/>
                </a:rPr>
                <a:t>(9850+4600)−(9850·4600))/〖(9850+4600)〗^2 ·10</a:t>
              </a:r>
              <a:r>
                <a:rPr lang="es-ES" sz="1100" b="0" i="0">
                  <a:solidFill>
                    <a:schemeClr val="tx1"/>
                  </a:solidFill>
                  <a:effectLst/>
                  <a:latin typeface="Cambria Math" panose="02040503050406030204" pitchFamily="18" charset="0"/>
                  <a:ea typeface="+mn-ea"/>
                  <a:cs typeface="+mn-cs"/>
                </a:rPr>
                <a:t>=5,66</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sz="1100"/>
            </a:p>
            <a:p>
              <a:endParaRPr lang="es-E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6</xdr:row>
      <xdr:rowOff>233987</xdr:rowOff>
    </xdr:from>
    <xdr:to>
      <xdr:col>13</xdr:col>
      <xdr:colOff>723901</xdr:colOff>
      <xdr:row>16</xdr:row>
      <xdr:rowOff>38099</xdr:rowOff>
    </xdr:to>
    <xdr:pic>
      <xdr:nvPicPr>
        <xdr:cNvPr id="2" name="Imagen 1">
          <a:extLst>
            <a:ext uri="{FF2B5EF4-FFF2-40B4-BE49-F238E27FC236}">
              <a16:creationId xmlns:a16="http://schemas.microsoft.com/office/drawing/2014/main" id="{70B89A7C-FE4A-A4E7-81E6-3B928DAD1E82}"/>
            </a:ext>
          </a:extLst>
        </xdr:cNvPr>
        <xdr:cNvPicPr>
          <a:picLocks noChangeAspect="1"/>
        </xdr:cNvPicPr>
      </xdr:nvPicPr>
      <xdr:blipFill>
        <a:blip xmlns:r="http://schemas.openxmlformats.org/officeDocument/2006/relationships" r:embed="rId1"/>
        <a:stretch>
          <a:fillRect/>
        </a:stretch>
      </xdr:blipFill>
      <xdr:spPr>
        <a:xfrm>
          <a:off x="6524625" y="1424612"/>
          <a:ext cx="3762376" cy="1918662"/>
        </a:xfrm>
        <a:prstGeom prst="rect">
          <a:avLst/>
        </a:prstGeom>
      </xdr:spPr>
    </xdr:pic>
    <xdr:clientData/>
  </xdr:twoCellAnchor>
  <xdr:twoCellAnchor editAs="oneCell">
    <xdr:from>
      <xdr:col>4</xdr:col>
      <xdr:colOff>266701</xdr:colOff>
      <xdr:row>47</xdr:row>
      <xdr:rowOff>26326</xdr:rowOff>
    </xdr:from>
    <xdr:to>
      <xdr:col>9</xdr:col>
      <xdr:colOff>503079</xdr:colOff>
      <xdr:row>55</xdr:row>
      <xdr:rowOff>114300</xdr:rowOff>
    </xdr:to>
    <xdr:pic>
      <xdr:nvPicPr>
        <xdr:cNvPr id="4" name="Imagen 3">
          <a:extLst>
            <a:ext uri="{FF2B5EF4-FFF2-40B4-BE49-F238E27FC236}">
              <a16:creationId xmlns:a16="http://schemas.microsoft.com/office/drawing/2014/main" id="{DAA77FE9-4EF3-5757-FF70-74C9DC0C83BD}"/>
            </a:ext>
          </a:extLst>
        </xdr:cNvPr>
        <xdr:cNvPicPr>
          <a:picLocks noChangeAspect="1"/>
        </xdr:cNvPicPr>
      </xdr:nvPicPr>
      <xdr:blipFill>
        <a:blip xmlns:r="http://schemas.openxmlformats.org/officeDocument/2006/relationships" r:embed="rId2"/>
        <a:stretch>
          <a:fillRect/>
        </a:stretch>
      </xdr:blipFill>
      <xdr:spPr>
        <a:xfrm>
          <a:off x="2686051" y="9322726"/>
          <a:ext cx="4332128" cy="1611974"/>
        </a:xfrm>
        <a:prstGeom prst="rect">
          <a:avLst/>
        </a:prstGeom>
      </xdr:spPr>
    </xdr:pic>
    <xdr:clientData/>
  </xdr:twoCellAnchor>
  <xdr:twoCellAnchor editAs="oneCell">
    <xdr:from>
      <xdr:col>4</xdr:col>
      <xdr:colOff>334107</xdr:colOff>
      <xdr:row>86</xdr:row>
      <xdr:rowOff>124557</xdr:rowOff>
    </xdr:from>
    <xdr:to>
      <xdr:col>8</xdr:col>
      <xdr:colOff>572232</xdr:colOff>
      <xdr:row>95</xdr:row>
      <xdr:rowOff>83793</xdr:rowOff>
    </xdr:to>
    <xdr:pic>
      <xdr:nvPicPr>
        <xdr:cNvPr id="5" name="Imagen 4">
          <a:extLst>
            <a:ext uri="{FF2B5EF4-FFF2-40B4-BE49-F238E27FC236}">
              <a16:creationId xmlns:a16="http://schemas.microsoft.com/office/drawing/2014/main" id="{E6A3A053-5CCF-5413-C779-FFA9DB52373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48000"/>
                  </a14:imgEffect>
                </a14:imgLayer>
              </a14:imgProps>
            </a:ext>
          </a:extLst>
        </a:blip>
        <a:srcRect t="9039"/>
        <a:stretch/>
      </xdr:blipFill>
      <xdr:spPr>
        <a:xfrm>
          <a:off x="1989992" y="16844595"/>
          <a:ext cx="3571875" cy="1673736"/>
        </a:xfrm>
        <a:prstGeom prst="rect">
          <a:avLst/>
        </a:prstGeom>
      </xdr:spPr>
    </xdr:pic>
    <xdr:clientData/>
  </xdr:twoCellAnchor>
  <xdr:twoCellAnchor>
    <xdr:from>
      <xdr:col>5</xdr:col>
      <xdr:colOff>123825</xdr:colOff>
      <xdr:row>1</xdr:row>
      <xdr:rowOff>9525</xdr:rowOff>
    </xdr:from>
    <xdr:to>
      <xdr:col>5</xdr:col>
      <xdr:colOff>200025</xdr:colOff>
      <xdr:row>1</xdr:row>
      <xdr:rowOff>190501</xdr:rowOff>
    </xdr:to>
    <xdr:sp macro="" textlink="">
      <xdr:nvSpPr>
        <xdr:cNvPr id="3" name="Rectángulo 2">
          <a:extLst>
            <a:ext uri="{FF2B5EF4-FFF2-40B4-BE49-F238E27FC236}">
              <a16:creationId xmlns:a16="http://schemas.microsoft.com/office/drawing/2014/main" id="{167FA197-4F99-411A-B6A9-EED507115F3A}"/>
            </a:ext>
          </a:extLst>
        </xdr:cNvPr>
        <xdr:cNvSpPr/>
      </xdr:nvSpPr>
      <xdr:spPr>
        <a:xfrm>
          <a:off x="3457575" y="209550"/>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1</xdr:row>
      <xdr:rowOff>9525</xdr:rowOff>
    </xdr:from>
    <xdr:to>
      <xdr:col>5</xdr:col>
      <xdr:colOff>352425</xdr:colOff>
      <xdr:row>1</xdr:row>
      <xdr:rowOff>190501</xdr:rowOff>
    </xdr:to>
    <xdr:sp macro="" textlink="">
      <xdr:nvSpPr>
        <xdr:cNvPr id="6" name="Rectángulo 5">
          <a:extLst>
            <a:ext uri="{FF2B5EF4-FFF2-40B4-BE49-F238E27FC236}">
              <a16:creationId xmlns:a16="http://schemas.microsoft.com/office/drawing/2014/main" id="{BF7A3F7F-3E76-459E-ABFF-C18F28651544}"/>
            </a:ext>
          </a:extLst>
        </xdr:cNvPr>
        <xdr:cNvSpPr/>
      </xdr:nvSpPr>
      <xdr:spPr>
        <a:xfrm>
          <a:off x="3609975" y="209550"/>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1</xdr:row>
      <xdr:rowOff>9525</xdr:rowOff>
    </xdr:from>
    <xdr:to>
      <xdr:col>5</xdr:col>
      <xdr:colOff>523875</xdr:colOff>
      <xdr:row>1</xdr:row>
      <xdr:rowOff>190501</xdr:rowOff>
    </xdr:to>
    <xdr:sp macro="" textlink="">
      <xdr:nvSpPr>
        <xdr:cNvPr id="7" name="Rectángulo 6">
          <a:extLst>
            <a:ext uri="{FF2B5EF4-FFF2-40B4-BE49-F238E27FC236}">
              <a16:creationId xmlns:a16="http://schemas.microsoft.com/office/drawing/2014/main" id="{DF912496-22F0-459E-B17E-2367199C5720}"/>
            </a:ext>
          </a:extLst>
        </xdr:cNvPr>
        <xdr:cNvSpPr/>
      </xdr:nvSpPr>
      <xdr:spPr>
        <a:xfrm>
          <a:off x="3781425" y="209550"/>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1</xdr:row>
      <xdr:rowOff>9525</xdr:rowOff>
    </xdr:from>
    <xdr:to>
      <xdr:col>5</xdr:col>
      <xdr:colOff>676275</xdr:colOff>
      <xdr:row>1</xdr:row>
      <xdr:rowOff>190501</xdr:rowOff>
    </xdr:to>
    <xdr:sp macro="" textlink="">
      <xdr:nvSpPr>
        <xdr:cNvPr id="8" name="Rectángulo 7">
          <a:extLst>
            <a:ext uri="{FF2B5EF4-FFF2-40B4-BE49-F238E27FC236}">
              <a16:creationId xmlns:a16="http://schemas.microsoft.com/office/drawing/2014/main" id="{3FDD5420-BC2E-4677-B116-907AF291A668}"/>
            </a:ext>
          </a:extLst>
        </xdr:cNvPr>
        <xdr:cNvSpPr/>
      </xdr:nvSpPr>
      <xdr:spPr>
        <a:xfrm>
          <a:off x="3933825"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2</xdr:row>
      <xdr:rowOff>9525</xdr:rowOff>
    </xdr:from>
    <xdr:to>
      <xdr:col>5</xdr:col>
      <xdr:colOff>200025</xdr:colOff>
      <xdr:row>2</xdr:row>
      <xdr:rowOff>190501</xdr:rowOff>
    </xdr:to>
    <xdr:sp macro="" textlink="">
      <xdr:nvSpPr>
        <xdr:cNvPr id="9" name="Rectángulo 8">
          <a:extLst>
            <a:ext uri="{FF2B5EF4-FFF2-40B4-BE49-F238E27FC236}">
              <a16:creationId xmlns:a16="http://schemas.microsoft.com/office/drawing/2014/main" id="{AFACB5B1-B1E1-41FA-BA2C-8028EF1D6AD0}"/>
            </a:ext>
          </a:extLst>
        </xdr:cNvPr>
        <xdr:cNvSpPr/>
      </xdr:nvSpPr>
      <xdr:spPr>
        <a:xfrm>
          <a:off x="3457575"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2</xdr:row>
      <xdr:rowOff>9525</xdr:rowOff>
    </xdr:from>
    <xdr:to>
      <xdr:col>5</xdr:col>
      <xdr:colOff>352425</xdr:colOff>
      <xdr:row>2</xdr:row>
      <xdr:rowOff>190501</xdr:rowOff>
    </xdr:to>
    <xdr:sp macro="" textlink="">
      <xdr:nvSpPr>
        <xdr:cNvPr id="10" name="Rectángulo 9">
          <a:extLst>
            <a:ext uri="{FF2B5EF4-FFF2-40B4-BE49-F238E27FC236}">
              <a16:creationId xmlns:a16="http://schemas.microsoft.com/office/drawing/2014/main" id="{93FB4497-BE09-4AEF-98F8-50BC614510BE}"/>
            </a:ext>
          </a:extLst>
        </xdr:cNvPr>
        <xdr:cNvSpPr/>
      </xdr:nvSpPr>
      <xdr:spPr>
        <a:xfrm>
          <a:off x="3609975"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2</xdr:row>
      <xdr:rowOff>9525</xdr:rowOff>
    </xdr:from>
    <xdr:to>
      <xdr:col>5</xdr:col>
      <xdr:colOff>523875</xdr:colOff>
      <xdr:row>2</xdr:row>
      <xdr:rowOff>190501</xdr:rowOff>
    </xdr:to>
    <xdr:sp macro="" textlink="">
      <xdr:nvSpPr>
        <xdr:cNvPr id="11" name="Rectángulo 10">
          <a:extLst>
            <a:ext uri="{FF2B5EF4-FFF2-40B4-BE49-F238E27FC236}">
              <a16:creationId xmlns:a16="http://schemas.microsoft.com/office/drawing/2014/main" id="{B0D5120F-A697-4FD2-B094-0B70221FD5E8}"/>
            </a:ext>
          </a:extLst>
        </xdr:cNvPr>
        <xdr:cNvSpPr/>
      </xdr:nvSpPr>
      <xdr:spPr>
        <a:xfrm>
          <a:off x="3781425" y="4095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2</xdr:row>
      <xdr:rowOff>9525</xdr:rowOff>
    </xdr:from>
    <xdr:to>
      <xdr:col>5</xdr:col>
      <xdr:colOff>676275</xdr:colOff>
      <xdr:row>2</xdr:row>
      <xdr:rowOff>190501</xdr:rowOff>
    </xdr:to>
    <xdr:sp macro="" textlink="">
      <xdr:nvSpPr>
        <xdr:cNvPr id="12" name="Rectángulo 11">
          <a:extLst>
            <a:ext uri="{FF2B5EF4-FFF2-40B4-BE49-F238E27FC236}">
              <a16:creationId xmlns:a16="http://schemas.microsoft.com/office/drawing/2014/main" id="{0BD0F112-F8A3-4CC7-9A54-9740A1032D00}"/>
            </a:ext>
          </a:extLst>
        </xdr:cNvPr>
        <xdr:cNvSpPr/>
      </xdr:nvSpPr>
      <xdr:spPr>
        <a:xfrm>
          <a:off x="3933825"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3</xdr:row>
      <xdr:rowOff>9525</xdr:rowOff>
    </xdr:from>
    <xdr:to>
      <xdr:col>5</xdr:col>
      <xdr:colOff>200025</xdr:colOff>
      <xdr:row>3</xdr:row>
      <xdr:rowOff>190501</xdr:rowOff>
    </xdr:to>
    <xdr:sp macro="" textlink="">
      <xdr:nvSpPr>
        <xdr:cNvPr id="13" name="Rectángulo 12">
          <a:extLst>
            <a:ext uri="{FF2B5EF4-FFF2-40B4-BE49-F238E27FC236}">
              <a16:creationId xmlns:a16="http://schemas.microsoft.com/office/drawing/2014/main" id="{0A3C489C-8757-4C76-AC7C-CACBB3AD04E4}"/>
            </a:ext>
          </a:extLst>
        </xdr:cNvPr>
        <xdr:cNvSpPr/>
      </xdr:nvSpPr>
      <xdr:spPr>
        <a:xfrm>
          <a:off x="3457575"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3</xdr:row>
      <xdr:rowOff>9525</xdr:rowOff>
    </xdr:from>
    <xdr:to>
      <xdr:col>5</xdr:col>
      <xdr:colOff>352425</xdr:colOff>
      <xdr:row>3</xdr:row>
      <xdr:rowOff>190501</xdr:rowOff>
    </xdr:to>
    <xdr:sp macro="" textlink="">
      <xdr:nvSpPr>
        <xdr:cNvPr id="14" name="Rectángulo 13">
          <a:extLst>
            <a:ext uri="{FF2B5EF4-FFF2-40B4-BE49-F238E27FC236}">
              <a16:creationId xmlns:a16="http://schemas.microsoft.com/office/drawing/2014/main" id="{64CF7257-2ADB-4778-A8D1-8F3E1CCFB343}"/>
            </a:ext>
          </a:extLst>
        </xdr:cNvPr>
        <xdr:cNvSpPr/>
      </xdr:nvSpPr>
      <xdr:spPr>
        <a:xfrm>
          <a:off x="3609975"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3</xdr:row>
      <xdr:rowOff>9525</xdr:rowOff>
    </xdr:from>
    <xdr:to>
      <xdr:col>5</xdr:col>
      <xdr:colOff>523875</xdr:colOff>
      <xdr:row>3</xdr:row>
      <xdr:rowOff>190501</xdr:rowOff>
    </xdr:to>
    <xdr:sp macro="" textlink="">
      <xdr:nvSpPr>
        <xdr:cNvPr id="15" name="Rectángulo 14">
          <a:extLst>
            <a:ext uri="{FF2B5EF4-FFF2-40B4-BE49-F238E27FC236}">
              <a16:creationId xmlns:a16="http://schemas.microsoft.com/office/drawing/2014/main" id="{88285043-FD20-4B8D-B721-397EEE4E1BBB}"/>
            </a:ext>
          </a:extLst>
        </xdr:cNvPr>
        <xdr:cNvSpPr/>
      </xdr:nvSpPr>
      <xdr:spPr>
        <a:xfrm>
          <a:off x="3781425" y="60960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3</xdr:row>
      <xdr:rowOff>9525</xdr:rowOff>
    </xdr:from>
    <xdr:to>
      <xdr:col>5</xdr:col>
      <xdr:colOff>676275</xdr:colOff>
      <xdr:row>3</xdr:row>
      <xdr:rowOff>190501</xdr:rowOff>
    </xdr:to>
    <xdr:sp macro="" textlink="">
      <xdr:nvSpPr>
        <xdr:cNvPr id="16" name="Rectángulo 15">
          <a:extLst>
            <a:ext uri="{FF2B5EF4-FFF2-40B4-BE49-F238E27FC236}">
              <a16:creationId xmlns:a16="http://schemas.microsoft.com/office/drawing/2014/main" id="{468AA21B-D58D-4735-9C01-31C2E1D616AD}"/>
            </a:ext>
          </a:extLst>
        </xdr:cNvPr>
        <xdr:cNvSpPr/>
      </xdr:nvSpPr>
      <xdr:spPr>
        <a:xfrm>
          <a:off x="3933825"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1</xdr:row>
      <xdr:rowOff>9525</xdr:rowOff>
    </xdr:from>
    <xdr:to>
      <xdr:col>9</xdr:col>
      <xdr:colOff>180975</xdr:colOff>
      <xdr:row>1</xdr:row>
      <xdr:rowOff>190501</xdr:rowOff>
    </xdr:to>
    <xdr:sp macro="" textlink="">
      <xdr:nvSpPr>
        <xdr:cNvPr id="17" name="Rectángulo 16">
          <a:extLst>
            <a:ext uri="{FF2B5EF4-FFF2-40B4-BE49-F238E27FC236}">
              <a16:creationId xmlns:a16="http://schemas.microsoft.com/office/drawing/2014/main" id="{521A8E23-2972-4FFD-B8EB-F25F630418E1}"/>
            </a:ext>
          </a:extLst>
        </xdr:cNvPr>
        <xdr:cNvSpPr/>
      </xdr:nvSpPr>
      <xdr:spPr>
        <a:xfrm>
          <a:off x="6553200" y="20955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1</xdr:row>
      <xdr:rowOff>9525</xdr:rowOff>
    </xdr:from>
    <xdr:to>
      <xdr:col>9</xdr:col>
      <xdr:colOff>333375</xdr:colOff>
      <xdr:row>1</xdr:row>
      <xdr:rowOff>190501</xdr:rowOff>
    </xdr:to>
    <xdr:sp macro="" textlink="">
      <xdr:nvSpPr>
        <xdr:cNvPr id="18" name="Rectángulo 17">
          <a:extLst>
            <a:ext uri="{FF2B5EF4-FFF2-40B4-BE49-F238E27FC236}">
              <a16:creationId xmlns:a16="http://schemas.microsoft.com/office/drawing/2014/main" id="{2686777F-B81E-4882-85E6-CC6C3D154C69}"/>
            </a:ext>
          </a:extLst>
        </xdr:cNvPr>
        <xdr:cNvSpPr/>
      </xdr:nvSpPr>
      <xdr:spPr>
        <a:xfrm>
          <a:off x="6705600" y="20955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1</xdr:row>
      <xdr:rowOff>9525</xdr:rowOff>
    </xdr:from>
    <xdr:to>
      <xdr:col>9</xdr:col>
      <xdr:colOff>504825</xdr:colOff>
      <xdr:row>1</xdr:row>
      <xdr:rowOff>190501</xdr:rowOff>
    </xdr:to>
    <xdr:sp macro="" textlink="">
      <xdr:nvSpPr>
        <xdr:cNvPr id="19" name="Rectángulo 18">
          <a:extLst>
            <a:ext uri="{FF2B5EF4-FFF2-40B4-BE49-F238E27FC236}">
              <a16:creationId xmlns:a16="http://schemas.microsoft.com/office/drawing/2014/main" id="{A2866B94-1CA8-4573-826D-A739C79DA3D0}"/>
            </a:ext>
          </a:extLst>
        </xdr:cNvPr>
        <xdr:cNvSpPr/>
      </xdr:nvSpPr>
      <xdr:spPr>
        <a:xfrm>
          <a:off x="6877050" y="20955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1</xdr:row>
      <xdr:rowOff>9525</xdr:rowOff>
    </xdr:from>
    <xdr:to>
      <xdr:col>9</xdr:col>
      <xdr:colOff>657225</xdr:colOff>
      <xdr:row>1</xdr:row>
      <xdr:rowOff>190501</xdr:rowOff>
    </xdr:to>
    <xdr:sp macro="" textlink="">
      <xdr:nvSpPr>
        <xdr:cNvPr id="20" name="Rectángulo 19">
          <a:extLst>
            <a:ext uri="{FF2B5EF4-FFF2-40B4-BE49-F238E27FC236}">
              <a16:creationId xmlns:a16="http://schemas.microsoft.com/office/drawing/2014/main" id="{99CB9F5D-8B91-4A29-A931-85BB0C713A52}"/>
            </a:ext>
          </a:extLst>
        </xdr:cNvPr>
        <xdr:cNvSpPr/>
      </xdr:nvSpPr>
      <xdr:spPr>
        <a:xfrm>
          <a:off x="7029450"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2</xdr:row>
      <xdr:rowOff>9525</xdr:rowOff>
    </xdr:from>
    <xdr:to>
      <xdr:col>9</xdr:col>
      <xdr:colOff>180975</xdr:colOff>
      <xdr:row>2</xdr:row>
      <xdr:rowOff>190501</xdr:rowOff>
    </xdr:to>
    <xdr:sp macro="" textlink="">
      <xdr:nvSpPr>
        <xdr:cNvPr id="21" name="Rectángulo 20">
          <a:extLst>
            <a:ext uri="{FF2B5EF4-FFF2-40B4-BE49-F238E27FC236}">
              <a16:creationId xmlns:a16="http://schemas.microsoft.com/office/drawing/2014/main" id="{BEEBBDC6-7C63-4498-856B-7A08E2AFC501}"/>
            </a:ext>
          </a:extLst>
        </xdr:cNvPr>
        <xdr:cNvSpPr/>
      </xdr:nvSpPr>
      <xdr:spPr>
        <a:xfrm>
          <a:off x="6553200"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2</xdr:row>
      <xdr:rowOff>9525</xdr:rowOff>
    </xdr:from>
    <xdr:to>
      <xdr:col>9</xdr:col>
      <xdr:colOff>333375</xdr:colOff>
      <xdr:row>2</xdr:row>
      <xdr:rowOff>190501</xdr:rowOff>
    </xdr:to>
    <xdr:sp macro="" textlink="">
      <xdr:nvSpPr>
        <xdr:cNvPr id="22" name="Rectángulo 21">
          <a:extLst>
            <a:ext uri="{FF2B5EF4-FFF2-40B4-BE49-F238E27FC236}">
              <a16:creationId xmlns:a16="http://schemas.microsoft.com/office/drawing/2014/main" id="{B4EFABD8-4879-40DC-A345-3203468A2876}"/>
            </a:ext>
          </a:extLst>
        </xdr:cNvPr>
        <xdr:cNvSpPr/>
      </xdr:nvSpPr>
      <xdr:spPr>
        <a:xfrm>
          <a:off x="670560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2</xdr:row>
      <xdr:rowOff>9525</xdr:rowOff>
    </xdr:from>
    <xdr:to>
      <xdr:col>9</xdr:col>
      <xdr:colOff>504825</xdr:colOff>
      <xdr:row>2</xdr:row>
      <xdr:rowOff>190501</xdr:rowOff>
    </xdr:to>
    <xdr:sp macro="" textlink="">
      <xdr:nvSpPr>
        <xdr:cNvPr id="23" name="Rectángulo 22">
          <a:extLst>
            <a:ext uri="{FF2B5EF4-FFF2-40B4-BE49-F238E27FC236}">
              <a16:creationId xmlns:a16="http://schemas.microsoft.com/office/drawing/2014/main" id="{0278FF17-F6BF-44F8-889A-5B4D91D5C523}"/>
            </a:ext>
          </a:extLst>
        </xdr:cNvPr>
        <xdr:cNvSpPr/>
      </xdr:nvSpPr>
      <xdr:spPr>
        <a:xfrm>
          <a:off x="687705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2</xdr:row>
      <xdr:rowOff>9525</xdr:rowOff>
    </xdr:from>
    <xdr:to>
      <xdr:col>9</xdr:col>
      <xdr:colOff>657225</xdr:colOff>
      <xdr:row>2</xdr:row>
      <xdr:rowOff>190501</xdr:rowOff>
    </xdr:to>
    <xdr:sp macro="" textlink="">
      <xdr:nvSpPr>
        <xdr:cNvPr id="24" name="Rectángulo 23">
          <a:extLst>
            <a:ext uri="{FF2B5EF4-FFF2-40B4-BE49-F238E27FC236}">
              <a16:creationId xmlns:a16="http://schemas.microsoft.com/office/drawing/2014/main" id="{37935957-E5AB-4B5F-A1EC-E6BB8FE582F4}"/>
            </a:ext>
          </a:extLst>
        </xdr:cNvPr>
        <xdr:cNvSpPr/>
      </xdr:nvSpPr>
      <xdr:spPr>
        <a:xfrm>
          <a:off x="7029450"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3</xdr:row>
      <xdr:rowOff>9525</xdr:rowOff>
    </xdr:from>
    <xdr:to>
      <xdr:col>9</xdr:col>
      <xdr:colOff>180975</xdr:colOff>
      <xdr:row>3</xdr:row>
      <xdr:rowOff>190501</xdr:rowOff>
    </xdr:to>
    <xdr:sp macro="" textlink="">
      <xdr:nvSpPr>
        <xdr:cNvPr id="25" name="Rectángulo 24">
          <a:extLst>
            <a:ext uri="{FF2B5EF4-FFF2-40B4-BE49-F238E27FC236}">
              <a16:creationId xmlns:a16="http://schemas.microsoft.com/office/drawing/2014/main" id="{C119B137-CD90-4F96-A774-8D5B659B1CB7}"/>
            </a:ext>
          </a:extLst>
        </xdr:cNvPr>
        <xdr:cNvSpPr/>
      </xdr:nvSpPr>
      <xdr:spPr>
        <a:xfrm>
          <a:off x="6553200"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3</xdr:row>
      <xdr:rowOff>9525</xdr:rowOff>
    </xdr:from>
    <xdr:to>
      <xdr:col>9</xdr:col>
      <xdr:colOff>333375</xdr:colOff>
      <xdr:row>3</xdr:row>
      <xdr:rowOff>190501</xdr:rowOff>
    </xdr:to>
    <xdr:sp macro="" textlink="">
      <xdr:nvSpPr>
        <xdr:cNvPr id="26" name="Rectángulo 25">
          <a:extLst>
            <a:ext uri="{FF2B5EF4-FFF2-40B4-BE49-F238E27FC236}">
              <a16:creationId xmlns:a16="http://schemas.microsoft.com/office/drawing/2014/main" id="{CB743542-ED5F-4E86-8AC2-F6172169353E}"/>
            </a:ext>
          </a:extLst>
        </xdr:cNvPr>
        <xdr:cNvSpPr/>
      </xdr:nvSpPr>
      <xdr:spPr>
        <a:xfrm>
          <a:off x="6705600" y="609600"/>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3</xdr:row>
      <xdr:rowOff>9525</xdr:rowOff>
    </xdr:from>
    <xdr:to>
      <xdr:col>9</xdr:col>
      <xdr:colOff>504825</xdr:colOff>
      <xdr:row>3</xdr:row>
      <xdr:rowOff>190501</xdr:rowOff>
    </xdr:to>
    <xdr:sp macro="" textlink="">
      <xdr:nvSpPr>
        <xdr:cNvPr id="27" name="Rectángulo 26">
          <a:extLst>
            <a:ext uri="{FF2B5EF4-FFF2-40B4-BE49-F238E27FC236}">
              <a16:creationId xmlns:a16="http://schemas.microsoft.com/office/drawing/2014/main" id="{637F2F81-9B6E-48B4-A8BA-803FBDBF0146}"/>
            </a:ext>
          </a:extLst>
        </xdr:cNvPr>
        <xdr:cNvSpPr/>
      </xdr:nvSpPr>
      <xdr:spPr>
        <a:xfrm>
          <a:off x="6877050"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3</xdr:row>
      <xdr:rowOff>9525</xdr:rowOff>
    </xdr:from>
    <xdr:to>
      <xdr:col>9</xdr:col>
      <xdr:colOff>657225</xdr:colOff>
      <xdr:row>3</xdr:row>
      <xdr:rowOff>190501</xdr:rowOff>
    </xdr:to>
    <xdr:sp macro="" textlink="">
      <xdr:nvSpPr>
        <xdr:cNvPr id="28" name="Rectángulo 27">
          <a:extLst>
            <a:ext uri="{FF2B5EF4-FFF2-40B4-BE49-F238E27FC236}">
              <a16:creationId xmlns:a16="http://schemas.microsoft.com/office/drawing/2014/main" id="{C15283F7-A03A-412F-A986-4B206A151A94}"/>
            </a:ext>
          </a:extLst>
        </xdr:cNvPr>
        <xdr:cNvSpPr/>
      </xdr:nvSpPr>
      <xdr:spPr>
        <a:xfrm>
          <a:off x="7029450"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400051</xdr:colOff>
      <xdr:row>72</xdr:row>
      <xdr:rowOff>95250</xdr:rowOff>
    </xdr:from>
    <xdr:to>
      <xdr:col>6</xdr:col>
      <xdr:colOff>1985</xdr:colOff>
      <xdr:row>82</xdr:row>
      <xdr:rowOff>171450</xdr:rowOff>
    </xdr:to>
    <xdr:sp macro="" textlink="">
      <xdr:nvSpPr>
        <xdr:cNvPr id="29" name="Forma libre: forma 28">
          <a:extLst>
            <a:ext uri="{FF2B5EF4-FFF2-40B4-BE49-F238E27FC236}">
              <a16:creationId xmlns:a16="http://schemas.microsoft.com/office/drawing/2014/main" id="{57CD956E-FE10-426A-C075-28838BBF830B}"/>
            </a:ext>
          </a:extLst>
        </xdr:cNvPr>
        <xdr:cNvSpPr/>
      </xdr:nvSpPr>
      <xdr:spPr>
        <a:xfrm>
          <a:off x="2057401" y="11515725"/>
          <a:ext cx="2040334" cy="1981200"/>
        </a:xfrm>
        <a:custGeom>
          <a:avLst/>
          <a:gdLst>
            <a:gd name="connsiteX0" fmla="*/ 0 w 1304925"/>
            <a:gd name="connsiteY0" fmla="*/ 0 h 1466850"/>
            <a:gd name="connsiteX1" fmla="*/ 0 w 1304925"/>
            <a:gd name="connsiteY1" fmla="*/ 1457325 h 1466850"/>
            <a:gd name="connsiteX2" fmla="*/ 990600 w 1304925"/>
            <a:gd name="connsiteY2" fmla="*/ 1466850 h 1466850"/>
            <a:gd name="connsiteX3" fmla="*/ 1000125 w 1304925"/>
            <a:gd name="connsiteY3" fmla="*/ 1381125 h 1466850"/>
            <a:gd name="connsiteX4" fmla="*/ 904875 w 1304925"/>
            <a:gd name="connsiteY4" fmla="*/ 1333500 h 1466850"/>
            <a:gd name="connsiteX5" fmla="*/ 1057275 w 1304925"/>
            <a:gd name="connsiteY5" fmla="*/ 1285875 h 1466850"/>
            <a:gd name="connsiteX6" fmla="*/ 904875 w 1304925"/>
            <a:gd name="connsiteY6" fmla="*/ 1247775 h 1466850"/>
            <a:gd name="connsiteX7" fmla="*/ 1047750 w 1304925"/>
            <a:gd name="connsiteY7" fmla="*/ 1171575 h 1466850"/>
            <a:gd name="connsiteX8" fmla="*/ 923925 w 1304925"/>
            <a:gd name="connsiteY8" fmla="*/ 1152525 h 1466850"/>
            <a:gd name="connsiteX9" fmla="*/ 1047750 w 1304925"/>
            <a:gd name="connsiteY9" fmla="*/ 1095375 h 1466850"/>
            <a:gd name="connsiteX10" fmla="*/ 990600 w 1304925"/>
            <a:gd name="connsiteY10" fmla="*/ 1019175 h 1466850"/>
            <a:gd name="connsiteX11" fmla="*/ 990600 w 1304925"/>
            <a:gd name="connsiteY11" fmla="*/ 800100 h 1466850"/>
            <a:gd name="connsiteX12" fmla="*/ 1304925 w 1304925"/>
            <a:gd name="connsiteY12" fmla="*/ 800100 h 1466850"/>
            <a:gd name="connsiteX13" fmla="*/ 990600 w 1304925"/>
            <a:gd name="connsiteY13" fmla="*/ 800100 h 1466850"/>
            <a:gd name="connsiteX14" fmla="*/ 990600 w 1304925"/>
            <a:gd name="connsiteY14" fmla="*/ 714375 h 1466850"/>
            <a:gd name="connsiteX15" fmla="*/ 904875 w 1304925"/>
            <a:gd name="connsiteY15" fmla="*/ 695325 h 1466850"/>
            <a:gd name="connsiteX16" fmla="*/ 1095375 w 1304925"/>
            <a:gd name="connsiteY16" fmla="*/ 609600 h 1466850"/>
            <a:gd name="connsiteX17" fmla="*/ 914400 w 1304925"/>
            <a:gd name="connsiteY17" fmla="*/ 561975 h 1466850"/>
            <a:gd name="connsiteX18" fmla="*/ 1095375 w 1304925"/>
            <a:gd name="connsiteY18" fmla="*/ 476250 h 1466850"/>
            <a:gd name="connsiteX19" fmla="*/ 952500 w 1304925"/>
            <a:gd name="connsiteY19" fmla="*/ 419100 h 1466850"/>
            <a:gd name="connsiteX20" fmla="*/ 1076325 w 1304925"/>
            <a:gd name="connsiteY20" fmla="*/ 361950 h 1466850"/>
            <a:gd name="connsiteX21" fmla="*/ 971550 w 1304925"/>
            <a:gd name="connsiteY21" fmla="*/ 314325 h 1466850"/>
            <a:gd name="connsiteX22" fmla="*/ 971550 w 1304925"/>
            <a:gd name="connsiteY22" fmla="*/ 47625 h 1466850"/>
            <a:gd name="connsiteX23" fmla="*/ 0 w 1304925"/>
            <a:gd name="connsiteY23" fmla="*/ 0 h 1466850"/>
            <a:gd name="connsiteX0" fmla="*/ 12253 w 1304925"/>
            <a:gd name="connsiteY0" fmla="*/ 14065 h 1419225"/>
            <a:gd name="connsiteX1" fmla="*/ 0 w 1304925"/>
            <a:gd name="connsiteY1" fmla="*/ 1409700 h 1419225"/>
            <a:gd name="connsiteX2" fmla="*/ 990600 w 1304925"/>
            <a:gd name="connsiteY2" fmla="*/ 1419225 h 1419225"/>
            <a:gd name="connsiteX3" fmla="*/ 1000125 w 1304925"/>
            <a:gd name="connsiteY3" fmla="*/ 1333500 h 1419225"/>
            <a:gd name="connsiteX4" fmla="*/ 904875 w 1304925"/>
            <a:gd name="connsiteY4" fmla="*/ 1285875 h 1419225"/>
            <a:gd name="connsiteX5" fmla="*/ 1057275 w 1304925"/>
            <a:gd name="connsiteY5" fmla="*/ 1238250 h 1419225"/>
            <a:gd name="connsiteX6" fmla="*/ 904875 w 1304925"/>
            <a:gd name="connsiteY6" fmla="*/ 1200150 h 1419225"/>
            <a:gd name="connsiteX7" fmla="*/ 1047750 w 1304925"/>
            <a:gd name="connsiteY7" fmla="*/ 1123950 h 1419225"/>
            <a:gd name="connsiteX8" fmla="*/ 923925 w 1304925"/>
            <a:gd name="connsiteY8" fmla="*/ 1104900 h 1419225"/>
            <a:gd name="connsiteX9" fmla="*/ 1047750 w 1304925"/>
            <a:gd name="connsiteY9" fmla="*/ 1047750 h 1419225"/>
            <a:gd name="connsiteX10" fmla="*/ 990600 w 1304925"/>
            <a:gd name="connsiteY10" fmla="*/ 971550 h 1419225"/>
            <a:gd name="connsiteX11" fmla="*/ 990600 w 1304925"/>
            <a:gd name="connsiteY11" fmla="*/ 752475 h 1419225"/>
            <a:gd name="connsiteX12" fmla="*/ 1304925 w 1304925"/>
            <a:gd name="connsiteY12" fmla="*/ 752475 h 1419225"/>
            <a:gd name="connsiteX13" fmla="*/ 990600 w 1304925"/>
            <a:gd name="connsiteY13" fmla="*/ 752475 h 1419225"/>
            <a:gd name="connsiteX14" fmla="*/ 990600 w 1304925"/>
            <a:gd name="connsiteY14" fmla="*/ 666750 h 1419225"/>
            <a:gd name="connsiteX15" fmla="*/ 904875 w 1304925"/>
            <a:gd name="connsiteY15" fmla="*/ 647700 h 1419225"/>
            <a:gd name="connsiteX16" fmla="*/ 1095375 w 1304925"/>
            <a:gd name="connsiteY16" fmla="*/ 561975 h 1419225"/>
            <a:gd name="connsiteX17" fmla="*/ 914400 w 1304925"/>
            <a:gd name="connsiteY17" fmla="*/ 514350 h 1419225"/>
            <a:gd name="connsiteX18" fmla="*/ 1095375 w 1304925"/>
            <a:gd name="connsiteY18" fmla="*/ 428625 h 1419225"/>
            <a:gd name="connsiteX19" fmla="*/ 952500 w 1304925"/>
            <a:gd name="connsiteY19" fmla="*/ 371475 h 1419225"/>
            <a:gd name="connsiteX20" fmla="*/ 1076325 w 1304925"/>
            <a:gd name="connsiteY20" fmla="*/ 314325 h 1419225"/>
            <a:gd name="connsiteX21" fmla="*/ 971550 w 1304925"/>
            <a:gd name="connsiteY21" fmla="*/ 266700 h 1419225"/>
            <a:gd name="connsiteX22" fmla="*/ 971550 w 1304925"/>
            <a:gd name="connsiteY22" fmla="*/ 0 h 1419225"/>
            <a:gd name="connsiteX23" fmla="*/ 12253 w 1304925"/>
            <a:gd name="connsiteY23" fmla="*/ 14065 h 1419225"/>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952500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865388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9238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66086 w 1304925"/>
            <a:gd name="connsiteY16" fmla="*/ 589334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1000125 w 1345023"/>
            <a:gd name="connsiteY3" fmla="*/ 1339998 h 1425723"/>
            <a:gd name="connsiteX4" fmla="*/ 920851 w 1345023"/>
            <a:gd name="connsiteY4" fmla="*/ 1304293 h 1425723"/>
            <a:gd name="connsiteX5" fmla="*/ 1057275 w 1345023"/>
            <a:gd name="connsiteY5" fmla="*/ 1244748 h 1425723"/>
            <a:gd name="connsiteX6" fmla="*/ 918188 w 1345023"/>
            <a:gd name="connsiteY6" fmla="*/ 1188767 h 1425723"/>
            <a:gd name="connsiteX7" fmla="*/ 1063725 w 1345023"/>
            <a:gd name="connsiteY7" fmla="*/ 1136409 h 1425723"/>
            <a:gd name="connsiteX8" fmla="*/ 921263 w 1345023"/>
            <a:gd name="connsiteY8" fmla="*/ 1072656 h 1425723"/>
            <a:gd name="connsiteX9" fmla="*/ 1066388 w 1345023"/>
            <a:gd name="connsiteY9" fmla="*/ 1018486 h 1425723"/>
            <a:gd name="connsiteX10" fmla="*/ 990600 w 1345023"/>
            <a:gd name="connsiteY10" fmla="*/ 978048 h 1425723"/>
            <a:gd name="connsiteX11" fmla="*/ 990600 w 1345023"/>
            <a:gd name="connsiteY11" fmla="*/ 758973 h 1425723"/>
            <a:gd name="connsiteX12" fmla="*/ 1304925 w 1345023"/>
            <a:gd name="connsiteY12" fmla="*/ 758973 h 1425723"/>
            <a:gd name="connsiteX13" fmla="*/ 990600 w 1345023"/>
            <a:gd name="connsiteY13" fmla="*/ 758973 h 1425723"/>
            <a:gd name="connsiteX14" fmla="*/ 990600 w 1345023"/>
            <a:gd name="connsiteY14" fmla="*/ 673248 h 1425723"/>
            <a:gd name="connsiteX15" fmla="*/ 915526 w 1345023"/>
            <a:gd name="connsiteY15" fmla="*/ 651218 h 1425723"/>
            <a:gd name="connsiteX16" fmla="*/ 1066086 w 1345023"/>
            <a:gd name="connsiteY16" fmla="*/ 589334 h 1425723"/>
            <a:gd name="connsiteX17" fmla="*/ 918639 w 1345023"/>
            <a:gd name="connsiteY17" fmla="*/ 520848 h 1425723"/>
            <a:gd name="connsiteX18" fmla="*/ 1068749 w 1345023"/>
            <a:gd name="connsiteY18" fmla="*/ 438103 h 1425723"/>
            <a:gd name="connsiteX19" fmla="*/ 915459 w 1345023"/>
            <a:gd name="connsiteY19" fmla="*/ 377973 h 1425723"/>
            <a:gd name="connsiteX20" fmla="*/ 1076325 w 1345023"/>
            <a:gd name="connsiteY20" fmla="*/ 320823 h 1425723"/>
            <a:gd name="connsiteX21" fmla="*/ 995514 w 1345023"/>
            <a:gd name="connsiteY21" fmla="*/ 273198 h 1425723"/>
            <a:gd name="connsiteX22" fmla="*/ 995514 w 1345023"/>
            <a:gd name="connsiteY22" fmla="*/ 538 h 1425723"/>
            <a:gd name="connsiteX23" fmla="*/ 12253 w 1345023"/>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989878 w 1345023"/>
            <a:gd name="connsiteY3" fmla="*/ 1418869 h 1425723"/>
            <a:gd name="connsiteX4" fmla="*/ 1000125 w 1345023"/>
            <a:gd name="connsiteY4" fmla="*/ 1339998 h 1425723"/>
            <a:gd name="connsiteX5" fmla="*/ 920851 w 1345023"/>
            <a:gd name="connsiteY5" fmla="*/ 1304293 h 1425723"/>
            <a:gd name="connsiteX6" fmla="*/ 1057275 w 1345023"/>
            <a:gd name="connsiteY6" fmla="*/ 1244748 h 1425723"/>
            <a:gd name="connsiteX7" fmla="*/ 918188 w 1345023"/>
            <a:gd name="connsiteY7" fmla="*/ 1188767 h 1425723"/>
            <a:gd name="connsiteX8" fmla="*/ 1063725 w 1345023"/>
            <a:gd name="connsiteY8" fmla="*/ 1136409 h 1425723"/>
            <a:gd name="connsiteX9" fmla="*/ 921263 w 1345023"/>
            <a:gd name="connsiteY9" fmla="*/ 1072656 h 1425723"/>
            <a:gd name="connsiteX10" fmla="*/ 1066388 w 1345023"/>
            <a:gd name="connsiteY10" fmla="*/ 1018486 h 1425723"/>
            <a:gd name="connsiteX11" fmla="*/ 990600 w 1345023"/>
            <a:gd name="connsiteY11" fmla="*/ 978048 h 1425723"/>
            <a:gd name="connsiteX12" fmla="*/ 990600 w 1345023"/>
            <a:gd name="connsiteY12" fmla="*/ 758973 h 1425723"/>
            <a:gd name="connsiteX13" fmla="*/ 1304925 w 1345023"/>
            <a:gd name="connsiteY13" fmla="*/ 758973 h 1425723"/>
            <a:gd name="connsiteX14" fmla="*/ 990600 w 1345023"/>
            <a:gd name="connsiteY14" fmla="*/ 758973 h 1425723"/>
            <a:gd name="connsiteX15" fmla="*/ 990600 w 1345023"/>
            <a:gd name="connsiteY15" fmla="*/ 673248 h 1425723"/>
            <a:gd name="connsiteX16" fmla="*/ 915526 w 1345023"/>
            <a:gd name="connsiteY16" fmla="*/ 651218 h 1425723"/>
            <a:gd name="connsiteX17" fmla="*/ 1066086 w 1345023"/>
            <a:gd name="connsiteY17" fmla="*/ 589334 h 1425723"/>
            <a:gd name="connsiteX18" fmla="*/ 918639 w 1345023"/>
            <a:gd name="connsiteY18" fmla="*/ 520848 h 1425723"/>
            <a:gd name="connsiteX19" fmla="*/ 1068749 w 1345023"/>
            <a:gd name="connsiteY19" fmla="*/ 438103 h 1425723"/>
            <a:gd name="connsiteX20" fmla="*/ 915459 w 1345023"/>
            <a:gd name="connsiteY20" fmla="*/ 377973 h 1425723"/>
            <a:gd name="connsiteX21" fmla="*/ 1076325 w 1345023"/>
            <a:gd name="connsiteY21" fmla="*/ 320823 h 1425723"/>
            <a:gd name="connsiteX22" fmla="*/ 995514 w 1345023"/>
            <a:gd name="connsiteY22" fmla="*/ 273198 h 1425723"/>
            <a:gd name="connsiteX23" fmla="*/ 995514 w 1345023"/>
            <a:gd name="connsiteY23" fmla="*/ 538 h 1425723"/>
            <a:gd name="connsiteX24" fmla="*/ 12253 w 1345023"/>
            <a:gd name="connsiteY24" fmla="*/ 0 h 1425723"/>
            <a:gd name="connsiteX0" fmla="*/ 12253 w 1345023"/>
            <a:gd name="connsiteY0" fmla="*/ 0 h 1431099"/>
            <a:gd name="connsiteX1" fmla="*/ 0 w 1345023"/>
            <a:gd name="connsiteY1" fmla="*/ 1416198 h 1431099"/>
            <a:gd name="connsiteX2" fmla="*/ 1345023 w 1345023"/>
            <a:gd name="connsiteY2" fmla="*/ 1425723 h 1431099"/>
            <a:gd name="connsiteX3" fmla="*/ 989878 w 1345023"/>
            <a:gd name="connsiteY3" fmla="*/ 1418869 h 1431099"/>
            <a:gd name="connsiteX4" fmla="*/ 1000125 w 1345023"/>
            <a:gd name="connsiteY4" fmla="*/ 1339998 h 1431099"/>
            <a:gd name="connsiteX5" fmla="*/ 920851 w 1345023"/>
            <a:gd name="connsiteY5" fmla="*/ 1304293 h 1431099"/>
            <a:gd name="connsiteX6" fmla="*/ 1057275 w 1345023"/>
            <a:gd name="connsiteY6" fmla="*/ 1244748 h 1431099"/>
            <a:gd name="connsiteX7" fmla="*/ 918188 w 1345023"/>
            <a:gd name="connsiteY7" fmla="*/ 1188767 h 1431099"/>
            <a:gd name="connsiteX8" fmla="*/ 1063725 w 1345023"/>
            <a:gd name="connsiteY8" fmla="*/ 1136409 h 1431099"/>
            <a:gd name="connsiteX9" fmla="*/ 921263 w 1345023"/>
            <a:gd name="connsiteY9" fmla="*/ 1072656 h 1431099"/>
            <a:gd name="connsiteX10" fmla="*/ 1066388 w 1345023"/>
            <a:gd name="connsiteY10" fmla="*/ 1018486 h 1431099"/>
            <a:gd name="connsiteX11" fmla="*/ 990600 w 1345023"/>
            <a:gd name="connsiteY11" fmla="*/ 978048 h 1431099"/>
            <a:gd name="connsiteX12" fmla="*/ 990600 w 1345023"/>
            <a:gd name="connsiteY12" fmla="*/ 758973 h 1431099"/>
            <a:gd name="connsiteX13" fmla="*/ 1304925 w 1345023"/>
            <a:gd name="connsiteY13" fmla="*/ 758973 h 1431099"/>
            <a:gd name="connsiteX14" fmla="*/ 990600 w 1345023"/>
            <a:gd name="connsiteY14" fmla="*/ 758973 h 1431099"/>
            <a:gd name="connsiteX15" fmla="*/ 990600 w 1345023"/>
            <a:gd name="connsiteY15" fmla="*/ 673248 h 1431099"/>
            <a:gd name="connsiteX16" fmla="*/ 915526 w 1345023"/>
            <a:gd name="connsiteY16" fmla="*/ 651218 h 1431099"/>
            <a:gd name="connsiteX17" fmla="*/ 1066086 w 1345023"/>
            <a:gd name="connsiteY17" fmla="*/ 589334 h 1431099"/>
            <a:gd name="connsiteX18" fmla="*/ 918639 w 1345023"/>
            <a:gd name="connsiteY18" fmla="*/ 520848 h 1431099"/>
            <a:gd name="connsiteX19" fmla="*/ 1068749 w 1345023"/>
            <a:gd name="connsiteY19" fmla="*/ 438103 h 1431099"/>
            <a:gd name="connsiteX20" fmla="*/ 915459 w 1345023"/>
            <a:gd name="connsiteY20" fmla="*/ 377973 h 1431099"/>
            <a:gd name="connsiteX21" fmla="*/ 1076325 w 1345023"/>
            <a:gd name="connsiteY21" fmla="*/ 320823 h 1431099"/>
            <a:gd name="connsiteX22" fmla="*/ 995514 w 1345023"/>
            <a:gd name="connsiteY22" fmla="*/ 273198 h 1431099"/>
            <a:gd name="connsiteX23" fmla="*/ 995514 w 1345023"/>
            <a:gd name="connsiteY23" fmla="*/ 538 h 1431099"/>
            <a:gd name="connsiteX24" fmla="*/ 12253 w 1345023"/>
            <a:gd name="connsiteY24" fmla="*/ 0 h 1431099"/>
            <a:gd name="connsiteX0" fmla="*/ 12253 w 1345023"/>
            <a:gd name="connsiteY0" fmla="*/ 0 h 1429969"/>
            <a:gd name="connsiteX1" fmla="*/ 0 w 1345023"/>
            <a:gd name="connsiteY1" fmla="*/ 1416198 h 1429969"/>
            <a:gd name="connsiteX2" fmla="*/ 1345023 w 1345023"/>
            <a:gd name="connsiteY2" fmla="*/ 1425723 h 1429969"/>
            <a:gd name="connsiteX3" fmla="*/ 989878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9969"/>
            <a:gd name="connsiteX1" fmla="*/ 0 w 1345023"/>
            <a:gd name="connsiteY1" fmla="*/ 1416198 h 1429969"/>
            <a:gd name="connsiteX2" fmla="*/ 1345023 w 1345023"/>
            <a:gd name="connsiteY2" fmla="*/ 1425723 h 1429969"/>
            <a:gd name="connsiteX3" fmla="*/ 1004814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5730"/>
            <a:gd name="connsiteX1" fmla="*/ 0 w 1345023"/>
            <a:gd name="connsiteY1" fmla="*/ 1416198 h 1425730"/>
            <a:gd name="connsiteX2" fmla="*/ 1345023 w 1345023"/>
            <a:gd name="connsiteY2" fmla="*/ 1425723 h 1425730"/>
            <a:gd name="connsiteX3" fmla="*/ 1004814 w 1345023"/>
            <a:gd name="connsiteY3" fmla="*/ 1418869 h 1425730"/>
            <a:gd name="connsiteX4" fmla="*/ 1000125 w 1345023"/>
            <a:gd name="connsiteY4" fmla="*/ 1339998 h 1425730"/>
            <a:gd name="connsiteX5" fmla="*/ 920851 w 1345023"/>
            <a:gd name="connsiteY5" fmla="*/ 1304293 h 1425730"/>
            <a:gd name="connsiteX6" fmla="*/ 1057275 w 1345023"/>
            <a:gd name="connsiteY6" fmla="*/ 1244748 h 1425730"/>
            <a:gd name="connsiteX7" fmla="*/ 918188 w 1345023"/>
            <a:gd name="connsiteY7" fmla="*/ 1188767 h 1425730"/>
            <a:gd name="connsiteX8" fmla="*/ 1063725 w 1345023"/>
            <a:gd name="connsiteY8" fmla="*/ 1136409 h 1425730"/>
            <a:gd name="connsiteX9" fmla="*/ 921263 w 1345023"/>
            <a:gd name="connsiteY9" fmla="*/ 1072656 h 1425730"/>
            <a:gd name="connsiteX10" fmla="*/ 1066388 w 1345023"/>
            <a:gd name="connsiteY10" fmla="*/ 1018486 h 1425730"/>
            <a:gd name="connsiteX11" fmla="*/ 990600 w 1345023"/>
            <a:gd name="connsiteY11" fmla="*/ 978048 h 1425730"/>
            <a:gd name="connsiteX12" fmla="*/ 990600 w 1345023"/>
            <a:gd name="connsiteY12" fmla="*/ 758973 h 1425730"/>
            <a:gd name="connsiteX13" fmla="*/ 1304925 w 1345023"/>
            <a:gd name="connsiteY13" fmla="*/ 758973 h 1425730"/>
            <a:gd name="connsiteX14" fmla="*/ 990600 w 1345023"/>
            <a:gd name="connsiteY14" fmla="*/ 758973 h 1425730"/>
            <a:gd name="connsiteX15" fmla="*/ 990600 w 1345023"/>
            <a:gd name="connsiteY15" fmla="*/ 673248 h 1425730"/>
            <a:gd name="connsiteX16" fmla="*/ 915526 w 1345023"/>
            <a:gd name="connsiteY16" fmla="*/ 651218 h 1425730"/>
            <a:gd name="connsiteX17" fmla="*/ 1066086 w 1345023"/>
            <a:gd name="connsiteY17" fmla="*/ 589334 h 1425730"/>
            <a:gd name="connsiteX18" fmla="*/ 918639 w 1345023"/>
            <a:gd name="connsiteY18" fmla="*/ 520848 h 1425730"/>
            <a:gd name="connsiteX19" fmla="*/ 1068749 w 1345023"/>
            <a:gd name="connsiteY19" fmla="*/ 438103 h 1425730"/>
            <a:gd name="connsiteX20" fmla="*/ 915459 w 1345023"/>
            <a:gd name="connsiteY20" fmla="*/ 377973 h 1425730"/>
            <a:gd name="connsiteX21" fmla="*/ 1076325 w 1345023"/>
            <a:gd name="connsiteY21" fmla="*/ 320823 h 1425730"/>
            <a:gd name="connsiteX22" fmla="*/ 995514 w 1345023"/>
            <a:gd name="connsiteY22" fmla="*/ 273198 h 1425730"/>
            <a:gd name="connsiteX23" fmla="*/ 995514 w 1345023"/>
            <a:gd name="connsiteY23" fmla="*/ 538 h 1425730"/>
            <a:gd name="connsiteX24" fmla="*/ 12253 w 1345023"/>
            <a:gd name="connsiteY24" fmla="*/ 0 h 1425730"/>
            <a:gd name="connsiteX0" fmla="*/ 12253 w 1306191"/>
            <a:gd name="connsiteY0" fmla="*/ 0 h 1425730"/>
            <a:gd name="connsiteX1" fmla="*/ 0 w 1306191"/>
            <a:gd name="connsiteY1" fmla="*/ 1416198 h 1425730"/>
            <a:gd name="connsiteX2" fmla="*/ 1306191 w 1306191"/>
            <a:gd name="connsiteY2" fmla="*/ 1425723 h 1425730"/>
            <a:gd name="connsiteX3" fmla="*/ 1004814 w 1306191"/>
            <a:gd name="connsiteY3" fmla="*/ 1418869 h 1425730"/>
            <a:gd name="connsiteX4" fmla="*/ 1000125 w 1306191"/>
            <a:gd name="connsiteY4" fmla="*/ 1339998 h 1425730"/>
            <a:gd name="connsiteX5" fmla="*/ 920851 w 1306191"/>
            <a:gd name="connsiteY5" fmla="*/ 1304293 h 1425730"/>
            <a:gd name="connsiteX6" fmla="*/ 1057275 w 1306191"/>
            <a:gd name="connsiteY6" fmla="*/ 1244748 h 1425730"/>
            <a:gd name="connsiteX7" fmla="*/ 918188 w 1306191"/>
            <a:gd name="connsiteY7" fmla="*/ 1188767 h 1425730"/>
            <a:gd name="connsiteX8" fmla="*/ 1063725 w 1306191"/>
            <a:gd name="connsiteY8" fmla="*/ 1136409 h 1425730"/>
            <a:gd name="connsiteX9" fmla="*/ 921263 w 1306191"/>
            <a:gd name="connsiteY9" fmla="*/ 1072656 h 1425730"/>
            <a:gd name="connsiteX10" fmla="*/ 1066388 w 1306191"/>
            <a:gd name="connsiteY10" fmla="*/ 1018486 h 1425730"/>
            <a:gd name="connsiteX11" fmla="*/ 990600 w 1306191"/>
            <a:gd name="connsiteY11" fmla="*/ 978048 h 1425730"/>
            <a:gd name="connsiteX12" fmla="*/ 990600 w 1306191"/>
            <a:gd name="connsiteY12" fmla="*/ 758973 h 1425730"/>
            <a:gd name="connsiteX13" fmla="*/ 1304925 w 1306191"/>
            <a:gd name="connsiteY13" fmla="*/ 758973 h 1425730"/>
            <a:gd name="connsiteX14" fmla="*/ 990600 w 1306191"/>
            <a:gd name="connsiteY14" fmla="*/ 758973 h 1425730"/>
            <a:gd name="connsiteX15" fmla="*/ 990600 w 1306191"/>
            <a:gd name="connsiteY15" fmla="*/ 673248 h 1425730"/>
            <a:gd name="connsiteX16" fmla="*/ 915526 w 1306191"/>
            <a:gd name="connsiteY16" fmla="*/ 651218 h 1425730"/>
            <a:gd name="connsiteX17" fmla="*/ 1066086 w 1306191"/>
            <a:gd name="connsiteY17" fmla="*/ 589334 h 1425730"/>
            <a:gd name="connsiteX18" fmla="*/ 918639 w 1306191"/>
            <a:gd name="connsiteY18" fmla="*/ 520848 h 1425730"/>
            <a:gd name="connsiteX19" fmla="*/ 1068749 w 1306191"/>
            <a:gd name="connsiteY19" fmla="*/ 438103 h 1425730"/>
            <a:gd name="connsiteX20" fmla="*/ 915459 w 1306191"/>
            <a:gd name="connsiteY20" fmla="*/ 377973 h 1425730"/>
            <a:gd name="connsiteX21" fmla="*/ 1076325 w 1306191"/>
            <a:gd name="connsiteY21" fmla="*/ 320823 h 1425730"/>
            <a:gd name="connsiteX22" fmla="*/ 995514 w 1306191"/>
            <a:gd name="connsiteY22" fmla="*/ 273198 h 1425730"/>
            <a:gd name="connsiteX23" fmla="*/ 995514 w 1306191"/>
            <a:gd name="connsiteY23" fmla="*/ 538 h 1425730"/>
            <a:gd name="connsiteX24" fmla="*/ 12253 w 1306191"/>
            <a:gd name="connsiteY24" fmla="*/ 0 h 1425730"/>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8749 w 1306191"/>
            <a:gd name="connsiteY19" fmla="*/ 438103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651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476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0 w 1312317"/>
            <a:gd name="connsiteY0" fmla="*/ 0 h 1425723"/>
            <a:gd name="connsiteX1" fmla="*/ 6126 w 1312317"/>
            <a:gd name="connsiteY1" fmla="*/ 1416198 h 1425723"/>
            <a:gd name="connsiteX2" fmla="*/ 1312317 w 1312317"/>
            <a:gd name="connsiteY2" fmla="*/ 1425723 h 1425723"/>
            <a:gd name="connsiteX3" fmla="*/ 1004000 w 1312317"/>
            <a:gd name="connsiteY3" fmla="*/ 1424042 h 1425723"/>
            <a:gd name="connsiteX4" fmla="*/ 1006251 w 1312317"/>
            <a:gd name="connsiteY4" fmla="*/ 1339998 h 1425723"/>
            <a:gd name="connsiteX5" fmla="*/ 926977 w 1312317"/>
            <a:gd name="connsiteY5" fmla="*/ 1304293 h 1425723"/>
            <a:gd name="connsiteX6" fmla="*/ 1071215 w 1312317"/>
            <a:gd name="connsiteY6" fmla="*/ 1247665 h 1425723"/>
            <a:gd name="connsiteX7" fmla="*/ 924314 w 1312317"/>
            <a:gd name="connsiteY7" fmla="*/ 1188767 h 1425723"/>
            <a:gd name="connsiteX8" fmla="*/ 1069851 w 1312317"/>
            <a:gd name="connsiteY8" fmla="*/ 1136409 h 1425723"/>
            <a:gd name="connsiteX9" fmla="*/ 927389 w 1312317"/>
            <a:gd name="connsiteY9" fmla="*/ 1072656 h 1425723"/>
            <a:gd name="connsiteX10" fmla="*/ 1072514 w 1312317"/>
            <a:gd name="connsiteY10" fmla="*/ 1018486 h 1425723"/>
            <a:gd name="connsiteX11" fmla="*/ 996726 w 1312317"/>
            <a:gd name="connsiteY11" fmla="*/ 978048 h 1425723"/>
            <a:gd name="connsiteX12" fmla="*/ 996726 w 1312317"/>
            <a:gd name="connsiteY12" fmla="*/ 758973 h 1425723"/>
            <a:gd name="connsiteX13" fmla="*/ 1311051 w 1312317"/>
            <a:gd name="connsiteY13" fmla="*/ 758973 h 1425723"/>
            <a:gd name="connsiteX14" fmla="*/ 996726 w 1312317"/>
            <a:gd name="connsiteY14" fmla="*/ 758973 h 1425723"/>
            <a:gd name="connsiteX15" fmla="*/ 996726 w 1312317"/>
            <a:gd name="connsiteY15" fmla="*/ 673248 h 1425723"/>
            <a:gd name="connsiteX16" fmla="*/ 921652 w 1312317"/>
            <a:gd name="connsiteY16" fmla="*/ 651218 h 1425723"/>
            <a:gd name="connsiteX17" fmla="*/ 1072212 w 1312317"/>
            <a:gd name="connsiteY17" fmla="*/ 589334 h 1425723"/>
            <a:gd name="connsiteX18" fmla="*/ 924765 w 1312317"/>
            <a:gd name="connsiteY18" fmla="*/ 520848 h 1425723"/>
            <a:gd name="connsiteX19" fmla="*/ 1067062 w 1312317"/>
            <a:gd name="connsiteY19" fmla="*/ 452687 h 1425723"/>
            <a:gd name="connsiteX20" fmla="*/ 921585 w 1312317"/>
            <a:gd name="connsiteY20" fmla="*/ 377973 h 1425723"/>
            <a:gd name="connsiteX21" fmla="*/ 1072031 w 1312317"/>
            <a:gd name="connsiteY21" fmla="*/ 320823 h 1425723"/>
            <a:gd name="connsiteX22" fmla="*/ 1001640 w 1312317"/>
            <a:gd name="connsiteY22" fmla="*/ 273198 h 1425723"/>
            <a:gd name="connsiteX23" fmla="*/ 1001640 w 1312317"/>
            <a:gd name="connsiteY23" fmla="*/ 538 h 1425723"/>
            <a:gd name="connsiteX24" fmla="*/ 0 w 1312317"/>
            <a:gd name="connsiteY24" fmla="*/ 0 h 1425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Lst>
          <a:rect l="l" t="t" r="r" b="b"/>
          <a:pathLst>
            <a:path w="1312317" h="1425723">
              <a:moveTo>
                <a:pt x="0" y="0"/>
              </a:moveTo>
              <a:lnTo>
                <a:pt x="6126" y="1416198"/>
              </a:lnTo>
              <a:lnTo>
                <a:pt x="1312317" y="1425723"/>
              </a:lnTo>
              <a:lnTo>
                <a:pt x="1004000" y="1424042"/>
              </a:lnTo>
              <a:cubicBezTo>
                <a:pt x="1004750" y="1396027"/>
                <a:pt x="1005501" y="1368013"/>
                <a:pt x="1006251" y="1339998"/>
              </a:cubicBezTo>
              <a:lnTo>
                <a:pt x="926977" y="1304293"/>
              </a:lnTo>
              <a:lnTo>
                <a:pt x="1071215" y="1247665"/>
              </a:lnTo>
              <a:lnTo>
                <a:pt x="924314" y="1188767"/>
              </a:lnTo>
              <a:lnTo>
                <a:pt x="1069851" y="1136409"/>
              </a:lnTo>
              <a:lnTo>
                <a:pt x="927389" y="1072656"/>
              </a:lnTo>
              <a:lnTo>
                <a:pt x="1072514" y="1018486"/>
              </a:lnTo>
              <a:lnTo>
                <a:pt x="996726" y="978048"/>
              </a:lnTo>
              <a:lnTo>
                <a:pt x="996726" y="758973"/>
              </a:lnTo>
              <a:lnTo>
                <a:pt x="1311051" y="758973"/>
              </a:lnTo>
              <a:lnTo>
                <a:pt x="996726" y="758973"/>
              </a:lnTo>
              <a:lnTo>
                <a:pt x="996726" y="673248"/>
              </a:lnTo>
              <a:lnTo>
                <a:pt x="921652" y="651218"/>
              </a:lnTo>
              <a:lnTo>
                <a:pt x="1072212" y="589334"/>
              </a:lnTo>
              <a:lnTo>
                <a:pt x="924765" y="520848"/>
              </a:lnTo>
              <a:lnTo>
                <a:pt x="1067062" y="452687"/>
              </a:lnTo>
              <a:lnTo>
                <a:pt x="921585" y="377973"/>
              </a:lnTo>
              <a:lnTo>
                <a:pt x="1072031" y="320823"/>
              </a:lnTo>
              <a:lnTo>
                <a:pt x="1001640" y="273198"/>
              </a:lnTo>
              <a:lnTo>
                <a:pt x="1001640" y="538"/>
              </a:lnTo>
              <a:lnTo>
                <a:pt x="0" y="0"/>
              </a:ln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323849</xdr:colOff>
      <xdr:row>74</xdr:row>
      <xdr:rowOff>161925</xdr:rowOff>
    </xdr:from>
    <xdr:to>
      <xdr:col>6</xdr:col>
      <xdr:colOff>47625</xdr:colOff>
      <xdr:row>77</xdr:row>
      <xdr:rowOff>9525</xdr:rowOff>
    </xdr:to>
    <xdr:sp macro="" textlink="">
      <xdr:nvSpPr>
        <xdr:cNvPr id="30" name="CuadroTexto 29">
          <a:extLst>
            <a:ext uri="{FF2B5EF4-FFF2-40B4-BE49-F238E27FC236}">
              <a16:creationId xmlns:a16="http://schemas.microsoft.com/office/drawing/2014/main" id="{B63BDFFF-F2E2-5787-C0C1-2510722B1F95}"/>
            </a:ext>
          </a:extLst>
        </xdr:cNvPr>
        <xdr:cNvSpPr txBox="1"/>
      </xdr:nvSpPr>
      <xdr:spPr>
        <a:xfrm>
          <a:off x="3657599" y="119634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R1</a:t>
          </a:r>
        </a:p>
        <a:p>
          <a:pPr algn="ctr"/>
          <a:endParaRPr lang="es-ES" sz="2000" b="1"/>
        </a:p>
      </xdr:txBody>
    </xdr:sp>
    <xdr:clientData/>
  </xdr:twoCellAnchor>
  <xdr:twoCellAnchor>
    <xdr:from>
      <xdr:col>5</xdr:col>
      <xdr:colOff>333374</xdr:colOff>
      <xdr:row>79</xdr:row>
      <xdr:rowOff>104775</xdr:rowOff>
    </xdr:from>
    <xdr:to>
      <xdr:col>6</xdr:col>
      <xdr:colOff>57150</xdr:colOff>
      <xdr:row>81</xdr:row>
      <xdr:rowOff>142875</xdr:rowOff>
    </xdr:to>
    <xdr:sp macro="" textlink="">
      <xdr:nvSpPr>
        <xdr:cNvPr id="31" name="CuadroTexto 30">
          <a:extLst>
            <a:ext uri="{FF2B5EF4-FFF2-40B4-BE49-F238E27FC236}">
              <a16:creationId xmlns:a16="http://schemas.microsoft.com/office/drawing/2014/main" id="{0660E32B-67D6-4A68-B721-92A3DF57F99C}"/>
            </a:ext>
          </a:extLst>
        </xdr:cNvPr>
        <xdr:cNvSpPr txBox="1"/>
      </xdr:nvSpPr>
      <xdr:spPr>
        <a:xfrm>
          <a:off x="3667124" y="1285875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R2</a:t>
          </a:r>
        </a:p>
        <a:p>
          <a:pPr algn="ctr"/>
          <a:endParaRPr lang="es-ES" sz="2000" b="1"/>
        </a:p>
      </xdr:txBody>
    </xdr:sp>
    <xdr:clientData/>
  </xdr:twoCellAnchor>
  <xdr:twoCellAnchor>
    <xdr:from>
      <xdr:col>5</xdr:col>
      <xdr:colOff>704849</xdr:colOff>
      <xdr:row>76</xdr:row>
      <xdr:rowOff>171450</xdr:rowOff>
    </xdr:from>
    <xdr:to>
      <xdr:col>6</xdr:col>
      <xdr:colOff>428625</xdr:colOff>
      <xdr:row>79</xdr:row>
      <xdr:rowOff>19050</xdr:rowOff>
    </xdr:to>
    <xdr:sp macro="" textlink="">
      <xdr:nvSpPr>
        <xdr:cNvPr id="32" name="CuadroTexto 31">
          <a:extLst>
            <a:ext uri="{FF2B5EF4-FFF2-40B4-BE49-F238E27FC236}">
              <a16:creationId xmlns:a16="http://schemas.microsoft.com/office/drawing/2014/main" id="{51101A1B-CEA4-4ED2-92AC-77AD753B9D9A}"/>
            </a:ext>
          </a:extLst>
        </xdr:cNvPr>
        <xdr:cNvSpPr txBox="1"/>
      </xdr:nvSpPr>
      <xdr:spPr>
        <a:xfrm>
          <a:off x="4038599" y="12353925"/>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B</a:t>
          </a:r>
        </a:p>
        <a:p>
          <a:pPr algn="ctr"/>
          <a:endParaRPr lang="es-ES" sz="2000" b="1"/>
        </a:p>
      </xdr:txBody>
    </xdr:sp>
    <xdr:clientData/>
  </xdr:twoCellAnchor>
  <xdr:twoCellAnchor>
    <xdr:from>
      <xdr:col>5</xdr:col>
      <xdr:colOff>714374</xdr:colOff>
      <xdr:row>81</xdr:row>
      <xdr:rowOff>123825</xdr:rowOff>
    </xdr:from>
    <xdr:to>
      <xdr:col>6</xdr:col>
      <xdr:colOff>438150</xdr:colOff>
      <xdr:row>83</xdr:row>
      <xdr:rowOff>161925</xdr:rowOff>
    </xdr:to>
    <xdr:sp macro="" textlink="">
      <xdr:nvSpPr>
        <xdr:cNvPr id="33" name="CuadroTexto 32">
          <a:extLst>
            <a:ext uri="{FF2B5EF4-FFF2-40B4-BE49-F238E27FC236}">
              <a16:creationId xmlns:a16="http://schemas.microsoft.com/office/drawing/2014/main" id="{75E571AE-30BF-4A2E-B882-817A35816410}"/>
            </a:ext>
          </a:extLst>
        </xdr:cNvPr>
        <xdr:cNvSpPr txBox="1"/>
      </xdr:nvSpPr>
      <xdr:spPr>
        <a:xfrm>
          <a:off x="4048124" y="132588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C</a:t>
          </a:r>
        </a:p>
        <a:p>
          <a:pPr algn="ctr"/>
          <a:endParaRPr lang="es-ES" sz="2000" b="1"/>
        </a:p>
      </xdr:txBody>
    </xdr:sp>
    <xdr:clientData/>
  </xdr:twoCellAnchor>
  <xdr:oneCellAnchor>
    <xdr:from>
      <xdr:col>6</xdr:col>
      <xdr:colOff>757918</xdr:colOff>
      <xdr:row>79</xdr:row>
      <xdr:rowOff>132669</xdr:rowOff>
    </xdr:from>
    <xdr:ext cx="2419573" cy="345672"/>
    <mc:AlternateContent xmlns:mc="http://schemas.openxmlformats.org/markup-compatibility/2006">
      <mc:Choice xmlns:a14="http://schemas.microsoft.com/office/drawing/2010/main" Requires="a14">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𝑡h</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4,62·9,90</m:t>
                        </m:r>
                      </m:num>
                      <m:den>
                        <m:r>
                          <a:rPr lang="es-ES" sz="1100" b="0" i="1">
                            <a:solidFill>
                              <a:schemeClr val="tx1"/>
                            </a:solidFill>
                            <a:effectLst/>
                            <a:latin typeface="+mn-lt"/>
                            <a:ea typeface="+mn-ea"/>
                            <a:cs typeface="+mn-cs"/>
                          </a:rPr>
                          <m:t>4,62</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9,90</m:t>
                        </m:r>
                      </m:den>
                    </m:f>
                    <m:r>
                      <a:rPr lang="es-ES" sz="1100" b="0" i="1">
                        <a:latin typeface="Cambria Math" panose="02040503050406030204" pitchFamily="18" charset="0"/>
                      </a:rPr>
                      <m:t>=3,15 </m:t>
                    </m:r>
                    <m:r>
                      <a:rPr lang="es-ES" sz="1100" b="0" i="1">
                        <a:latin typeface="Cambria Math" panose="02040503050406030204" pitchFamily="18" charset="0"/>
                      </a:rPr>
                      <m:t>𝑘</m:t>
                    </m:r>
                    <m:r>
                      <m:rPr>
                        <m:sty m:val="p"/>
                      </m:rPr>
                      <a:rPr lang="el-GR" sz="1100" b="0" i="1">
                        <a:latin typeface="Cambria Math" panose="02040503050406030204" pitchFamily="18" charset="0"/>
                        <a:ea typeface="Cambria Math" panose="02040503050406030204" pitchFamily="18" charset="0"/>
                      </a:rPr>
                      <m:t>Ω</m:t>
                    </m:r>
                  </m:oMath>
                </m:oMathPara>
              </a14:m>
              <a:endParaRPr lang="es-ES" sz="1100"/>
            </a:p>
          </xdr:txBody>
        </xdr:sp>
      </mc:Choice>
      <mc:Fallback>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𝑅_𝑡ℎ=(</a:t>
              </a:r>
              <a:r>
                <a:rPr lang="es-ES" sz="1100" b="0" i="0">
                  <a:solidFill>
                    <a:schemeClr val="tx1"/>
                  </a:solidFill>
                  <a:effectLst/>
                  <a:latin typeface="+mn-lt"/>
                  <a:ea typeface="+mn-ea"/>
                  <a:cs typeface="+mn-cs"/>
                </a:rPr>
                <a:t>𝑅</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1·</a:t>
              </a:r>
              <a:r>
                <a:rPr lang="es-ES" sz="1100" b="0" i="0">
                  <a:solidFill>
                    <a:schemeClr val="tx1"/>
                  </a:solidFill>
                  <a:effectLst/>
                  <a:latin typeface="+mn-lt"/>
                  <a:ea typeface="+mn-ea"/>
                  <a:cs typeface="+mn-cs"/>
                </a:rPr>
                <a:t>𝑅_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=(4,62·9,90)/(</a:t>
              </a:r>
              <a:r>
                <a:rPr lang="es-ES" sz="1100" b="0" i="0">
                  <a:solidFill>
                    <a:schemeClr val="tx1"/>
                  </a:solidFill>
                  <a:effectLst/>
                  <a:latin typeface="+mn-lt"/>
                  <a:ea typeface="+mn-ea"/>
                  <a:cs typeface="+mn-cs"/>
                </a:rPr>
                <a:t>4,62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9,90</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=3,15 𝑘</a:t>
              </a:r>
              <a:r>
                <a:rPr lang="el-GR" sz="1100" b="0" i="0">
                  <a:latin typeface="Cambria Math" panose="02040503050406030204" pitchFamily="18" charset="0"/>
                  <a:ea typeface="Cambria Math" panose="02040503050406030204" pitchFamily="18" charset="0"/>
                </a:rPr>
                <a:t>Ω</a:t>
              </a:r>
              <a:endParaRPr lang="es-ES" sz="1100"/>
            </a:p>
          </xdr:txBody>
        </xdr:sp>
      </mc:Fallback>
    </mc:AlternateContent>
    <xdr:clientData/>
  </xdr:oneCellAnchor>
  <xdr:oneCellAnchor>
    <xdr:from>
      <xdr:col>6</xdr:col>
      <xdr:colOff>757918</xdr:colOff>
      <xdr:row>63</xdr:row>
      <xdr:rowOff>74692</xdr:rowOff>
    </xdr:from>
    <xdr:ext cx="2421967" cy="344582"/>
    <mc:AlternateContent xmlns:mc="http://schemas.openxmlformats.org/markup-compatibility/2006">
      <mc:Choice xmlns:a14="http://schemas.microsoft.com/office/drawing/2010/main" Requires="a14">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i="1">
                        <a:latin typeface="Cambria Math" panose="02040503050406030204" pitchFamily="18" charset="0"/>
                      </a:rPr>
                      <m:t>𝐼</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𝑉</m:t>
                        </m:r>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𝑉</m:t>
                        </m:r>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oMath>
                </m:oMathPara>
              </a14:m>
              <a:endParaRPr lang="es-ES" sz="1100"/>
            </a:p>
          </xdr:txBody>
        </xdr:sp>
      </mc:Choice>
      <mc:Fallback>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i="0">
                  <a:latin typeface="Cambria Math" panose="02040503050406030204" pitchFamily="18" charset="0"/>
                </a:rPr>
                <a:t>𝐼</a:t>
              </a:r>
              <a:r>
                <a:rPr lang="es-ES" sz="1100" b="0" i="0">
                  <a:latin typeface="Cambria Math" panose="02040503050406030204" pitchFamily="18" charset="0"/>
                </a:rPr>
                <a:t>=𝑉/(</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mn-lt"/>
                  <a:ea typeface="+mn-ea"/>
                  <a:cs typeface="+mn-cs"/>
                </a:rPr>
                <a:t> 𝑉/(𝑅_1+𝑅_2 )</a:t>
              </a:r>
              <a:r>
                <a:rPr lang="es-ES" sz="1100" b="0" i="0">
                  <a:solidFill>
                    <a:schemeClr val="tx1"/>
                  </a:solidFill>
                  <a:effectLst/>
                  <a:latin typeface="Cambria Math" panose="02040503050406030204" pitchFamily="18" charset="0"/>
                  <a:ea typeface="+mn-ea"/>
                  <a:cs typeface="+mn-cs"/>
                </a:rPr>
                <a:t>·𝑅_2</a:t>
              </a:r>
              <a:endParaRPr lang="es-ES" sz="1100"/>
            </a:p>
          </xdr:txBody>
        </xdr:sp>
      </mc:Fallback>
    </mc:AlternateContent>
    <xdr:clientData/>
  </xdr:oneCellAnchor>
  <xdr:twoCellAnchor editAs="oneCell">
    <xdr:from>
      <xdr:col>3</xdr:col>
      <xdr:colOff>87922</xdr:colOff>
      <xdr:row>57</xdr:row>
      <xdr:rowOff>68149</xdr:rowOff>
    </xdr:from>
    <xdr:to>
      <xdr:col>6</xdr:col>
      <xdr:colOff>417634</xdr:colOff>
      <xdr:row>69</xdr:row>
      <xdr:rowOff>190553</xdr:rowOff>
    </xdr:to>
    <xdr:pic>
      <xdr:nvPicPr>
        <xdr:cNvPr id="41" name="Imagen 40">
          <a:extLst>
            <a:ext uri="{FF2B5EF4-FFF2-40B4-BE49-F238E27FC236}">
              <a16:creationId xmlns:a16="http://schemas.microsoft.com/office/drawing/2014/main" id="{99D63597-CC53-4B86-A2C2-FD98776BC39C}"/>
            </a:ext>
          </a:extLst>
        </xdr:cNvPr>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sharpenSoften amount="65000"/>
                  </a14:imgEffect>
                </a14:imgLayer>
              </a14:imgProps>
            </a:ext>
          </a:extLst>
        </a:blip>
        <a:srcRect r="57210"/>
        <a:stretch/>
      </xdr:blipFill>
      <xdr:spPr>
        <a:xfrm>
          <a:off x="1746393" y="14019473"/>
          <a:ext cx="2772594" cy="2408404"/>
        </a:xfrm>
        <a:prstGeom prst="rect">
          <a:avLst/>
        </a:prstGeom>
      </xdr:spPr>
    </xdr:pic>
    <xdr:clientData/>
  </xdr:twoCellAnchor>
  <xdr:oneCellAnchor>
    <xdr:from>
      <xdr:col>7</xdr:col>
      <xdr:colOff>8282</xdr:colOff>
      <xdr:row>66</xdr:row>
      <xdr:rowOff>24850</xdr:rowOff>
    </xdr:from>
    <xdr:ext cx="2363988" cy="324256"/>
    <mc:AlternateContent xmlns:mc="http://schemas.openxmlformats.org/markup-compatibility/2006">
      <mc:Choice xmlns:a14="http://schemas.microsoft.com/office/drawing/2010/main" Requires="a14">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mn-lt"/>
                            <a:ea typeface="+mn-ea"/>
                            <a:cs typeface="+mn-cs"/>
                          </a:rPr>
                        </m:ctrlPr>
                      </m:fPr>
                      <m:num>
                        <m:r>
                          <a:rPr lang="es-ES" sz="1100" b="0" i="1">
                            <a:solidFill>
                              <a:schemeClr val="tx1"/>
                            </a:solidFill>
                            <a:effectLst/>
                            <a:latin typeface="Cambria Math" panose="02040503050406030204" pitchFamily="18" charset="0"/>
                            <a:ea typeface="+mn-ea"/>
                            <a:cs typeface="+mn-cs"/>
                          </a:rPr>
                          <m:t>5</m:t>
                        </m:r>
                      </m:num>
                      <m:den>
                        <m:r>
                          <a:rPr lang="es-ES" sz="1100" b="0" i="1">
                            <a:solidFill>
                              <a:schemeClr val="tx1"/>
                            </a:solidFill>
                            <a:effectLst/>
                            <a:latin typeface="+mn-lt"/>
                            <a:ea typeface="+mn-ea"/>
                            <a:cs typeface="+mn-cs"/>
                          </a:rPr>
                          <m:t>4620+9900</m:t>
                        </m:r>
                      </m:den>
                    </m:f>
                    <m:r>
                      <a:rPr lang="es-ES" sz="1100" b="0" i="1">
                        <a:solidFill>
                          <a:schemeClr val="tx1"/>
                        </a:solidFill>
                        <a:effectLst/>
                        <a:latin typeface="Cambria Math" panose="02040503050406030204" pitchFamily="18" charset="0"/>
                        <a:ea typeface="+mn-ea"/>
                        <a:cs typeface="+mn-cs"/>
                      </a:rPr>
                      <m:t>·9900=</m:t>
                    </m:r>
                    <m:r>
                      <a:rPr lang="es-ES" sz="1100" b="0" i="0">
                        <a:solidFill>
                          <a:schemeClr val="tx1"/>
                        </a:solidFill>
                        <a:effectLst/>
                        <a:latin typeface="Cambria Math" panose="02040503050406030204" pitchFamily="18" charset="0"/>
                        <a:ea typeface="+mn-ea"/>
                        <a:cs typeface="+mn-cs"/>
                      </a:rPr>
                      <m:t>3,41 </m:t>
                    </m:r>
                    <m:r>
                      <m:rPr>
                        <m:sty m:val="p"/>
                      </m:rPr>
                      <a:rPr lang="es-ES" sz="1100" b="0" i="0">
                        <a:solidFill>
                          <a:schemeClr val="tx1"/>
                        </a:solidFill>
                        <a:effectLst/>
                        <a:latin typeface="Cambria Math" panose="02040503050406030204" pitchFamily="18" charset="0"/>
                        <a:ea typeface="+mn-ea"/>
                        <a:cs typeface="+mn-cs"/>
                      </a:rPr>
                      <m:t>V</m:t>
                    </m:r>
                  </m:oMath>
                </m:oMathPara>
              </a14:m>
              <a:endParaRPr lang="es-ES" sz="1100"/>
            </a:p>
          </xdr:txBody>
        </xdr:sp>
      </mc:Choice>
      <mc:Fallback>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Cambria Math" panose="02040503050406030204" pitchFamily="18" charset="0"/>
                  <a:ea typeface="+mn-ea"/>
                  <a:cs typeface="+mn-cs"/>
                </a:rPr>
                <a:t> 5</a:t>
              </a:r>
              <a:r>
                <a:rPr lang="es-ES" sz="1100" b="0" i="0">
                  <a:solidFill>
                    <a:schemeClr val="tx1"/>
                  </a:solidFill>
                  <a:effectLst/>
                  <a:latin typeface="+mn-lt"/>
                  <a:ea typeface="+mn-ea"/>
                  <a:cs typeface="+mn-cs"/>
                </a:rPr>
                <a:t>/(4620+9900)</a:t>
              </a:r>
              <a:r>
                <a:rPr lang="es-ES" sz="1100" b="0" i="0">
                  <a:solidFill>
                    <a:schemeClr val="tx1"/>
                  </a:solidFill>
                  <a:effectLst/>
                  <a:latin typeface="Cambria Math" panose="02040503050406030204" pitchFamily="18" charset="0"/>
                  <a:ea typeface="+mn-ea"/>
                  <a:cs typeface="+mn-cs"/>
                </a:rPr>
                <a:t>·9900=3,41 V</a:t>
              </a:r>
              <a:endParaRPr lang="es-E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3</xdr:col>
      <xdr:colOff>9525</xdr:colOff>
      <xdr:row>37</xdr:row>
      <xdr:rowOff>11906</xdr:rowOff>
    </xdr:from>
    <xdr:to>
      <xdr:col>9</xdr:col>
      <xdr:colOff>1791891</xdr:colOff>
      <xdr:row>59</xdr:row>
      <xdr:rowOff>180974</xdr:rowOff>
    </xdr:to>
    <xdr:graphicFrame macro="">
      <xdr:nvGraphicFramePr>
        <xdr:cNvPr id="2" name="Gráfico 1">
          <a:extLst>
            <a:ext uri="{FF2B5EF4-FFF2-40B4-BE49-F238E27FC236}">
              <a16:creationId xmlns:a16="http://schemas.microsoft.com/office/drawing/2014/main" id="{A6D3537F-0267-4D6B-AAA3-425121CE6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752474</xdr:colOff>
      <xdr:row>8</xdr:row>
      <xdr:rowOff>76200</xdr:rowOff>
    </xdr:from>
    <xdr:ext cx="3190875" cy="361950"/>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𝑓</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𝜔</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𝑅</m:t>
                        </m:r>
                        <m:r>
                          <a:rPr lang="es-ES" sz="1100" b="0" i="1">
                            <a:latin typeface="Cambria Math" panose="02040503050406030204" pitchFamily="18" charset="0"/>
                          </a:rPr>
                          <m:t>·</m:t>
                        </m:r>
                        <m:r>
                          <a:rPr lang="es-ES" sz="1100" b="0" i="1">
                            <a:latin typeface="Cambria Math" panose="02040503050406030204" pitchFamily="18" charset="0"/>
                          </a:rPr>
                          <m:t>𝐶</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994·2,025</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=320,355 </m:t>
                    </m:r>
                    <m:r>
                      <a:rPr lang="es-ES" sz="1100" b="0" i="1">
                        <a:latin typeface="Cambria Math" panose="02040503050406030204" pitchFamily="18" charset="0"/>
                      </a:rPr>
                      <m:t>𝐻𝑧</m:t>
                    </m:r>
                    <m:r>
                      <a:rPr lang="es-ES" sz="1100" b="0" i="1">
                        <a:latin typeface="Cambria Math" panose="02040503050406030204" pitchFamily="18" charset="0"/>
                      </a:rPr>
                      <m:t> </m:t>
                    </m:r>
                  </m:oMath>
                </m:oMathPara>
              </a14:m>
              <a:endParaRPr lang="es-ES" sz="1100"/>
            </a:p>
          </xdr:txBody>
        </xdr:sp>
      </mc:Choice>
      <mc:Fallback xmlns="">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𝑓_0=</a:t>
              </a:r>
              <a:r>
                <a:rPr lang="es-ES" sz="1100" b="0" i="0">
                  <a:latin typeface="Cambria Math" panose="02040503050406030204" pitchFamily="18" charset="0"/>
                  <a:ea typeface="Cambria Math" panose="02040503050406030204" pitchFamily="18" charset="0"/>
                </a:rPr>
                <a:t>𝜔/</a:t>
              </a:r>
              <a:r>
                <a:rPr lang="es-ES" sz="1100" b="0" i="0">
                  <a:latin typeface="Cambria Math" panose="02040503050406030204" pitchFamily="18" charset="0"/>
                </a:rPr>
                <a:t>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=(𝑅·𝐶)/2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=(994·2,025)/2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=320,355 𝐻𝑧 </a:t>
              </a:r>
              <a:endParaRPr lang="es-ES" sz="1100"/>
            </a:p>
          </xdr:txBody>
        </xdr:sp>
      </mc:Fallback>
    </mc:AlternateContent>
    <xdr:clientData/>
  </xdr:oneCellAnchor>
  <xdr:oneCellAnchor>
    <xdr:from>
      <xdr:col>2</xdr:col>
      <xdr:colOff>752474</xdr:colOff>
      <xdr:row>11</xdr:row>
      <xdr:rowOff>76200</xdr:rowOff>
    </xdr:from>
    <xdr:ext cx="3190875" cy="361950"/>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i="1">
                            <a:latin typeface="Cambria Math" panose="02040503050406030204" pitchFamily="18" charset="0"/>
                            <a:ea typeface="Cambria Math" panose="02040503050406030204" pitchFamily="18" charset="0"/>
                          </a:rPr>
                          <m:t>𝜔</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𝑅</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𝐶</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994·2,025</m:t>
                        </m:r>
                      </m:den>
                    </m:f>
                    <m:r>
                      <a:rPr lang="es-ES" sz="1100" b="0" i="1">
                        <a:latin typeface="Cambria Math" panose="02040503050406030204" pitchFamily="18" charset="0"/>
                      </a:rPr>
                      <m:t>=4,97· </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−4 </m:t>
                        </m:r>
                      </m:sup>
                    </m:sSup>
                    <m:r>
                      <a:rPr lang="es-ES" sz="1100" b="0" i="1">
                        <a:latin typeface="Cambria Math" panose="02040503050406030204" pitchFamily="18" charset="0"/>
                      </a:rPr>
                      <m:t>𝑟𝑎𝑑</m:t>
                    </m:r>
                    <m:r>
                      <a:rPr lang="es-ES" sz="1100" b="0" i="1">
                        <a:latin typeface="Cambria Math" panose="02040503050406030204" pitchFamily="18" charset="0"/>
                      </a:rPr>
                      <m:t>/</m:t>
                    </m:r>
                    <m:r>
                      <a:rPr lang="es-ES" sz="1100" b="0" i="1">
                        <a:latin typeface="Cambria Math" panose="02040503050406030204" pitchFamily="18" charset="0"/>
                      </a:rPr>
                      <m:t>𝑠</m:t>
                    </m:r>
                  </m:oMath>
                </m:oMathPara>
              </a14:m>
              <a:endParaRPr lang="es-ES" sz="1100"/>
            </a:p>
          </xdr:txBody>
        </xdr:sp>
      </mc:Choice>
      <mc:Fallback xmlns="">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i="0">
                  <a:latin typeface="Cambria Math" panose="02040503050406030204" pitchFamily="18" charset="0"/>
                  <a:ea typeface="Cambria Math" panose="02040503050406030204" pitchFamily="18" charset="0"/>
                </a:rPr>
                <a:t>𝜔_</a:t>
              </a:r>
              <a:r>
                <a:rPr lang="es-ES" sz="1100" b="0" i="0">
                  <a:latin typeface="Cambria Math" panose="02040503050406030204" pitchFamily="18" charset="0"/>
                </a:rPr>
                <a:t>0=</a:t>
              </a:r>
              <a:r>
                <a:rPr lang="es-ES" sz="1100" b="0" i="0">
                  <a:latin typeface="Cambria Math" panose="02040503050406030204" pitchFamily="18" charset="0"/>
                  <a:ea typeface="Cambria Math" panose="02040503050406030204" pitchFamily="18" charset="0"/>
                </a:rPr>
                <a:t>1/(</a:t>
              </a:r>
              <a:r>
                <a:rPr lang="es-ES" sz="1100" b="0" i="0">
                  <a:solidFill>
                    <a:schemeClr val="tx1"/>
                  </a:solidFill>
                  <a:effectLst/>
                  <a:latin typeface="+mn-lt"/>
                  <a:ea typeface="+mn-ea"/>
                  <a:cs typeface="+mn-cs"/>
                </a:rPr>
                <a:t>𝑅·𝐶</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=1/(</a:t>
              </a:r>
              <a:r>
                <a:rPr lang="es-ES" sz="1100" b="0" i="0">
                  <a:solidFill>
                    <a:schemeClr val="tx1"/>
                  </a:solidFill>
                  <a:effectLst/>
                  <a:latin typeface="+mn-lt"/>
                  <a:ea typeface="+mn-ea"/>
                  <a:cs typeface="+mn-cs"/>
                </a:rPr>
                <a:t>994·2,025</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=4,97· 10^(−4 ) 𝑟𝑎𝑑/𝑠</a:t>
              </a:r>
              <a:endParaRPr lang="es-ES" sz="1100"/>
            </a:p>
          </xdr:txBody>
        </xdr:sp>
      </mc:Fallback>
    </mc:AlternateContent>
    <xdr:clientData/>
  </xdr:oneCellAnchor>
  <xdr:twoCellAnchor editAs="oneCell">
    <xdr:from>
      <xdr:col>8</xdr:col>
      <xdr:colOff>142874</xdr:colOff>
      <xdr:row>4</xdr:row>
      <xdr:rowOff>142875</xdr:rowOff>
    </xdr:from>
    <xdr:to>
      <xdr:col>11</xdr:col>
      <xdr:colOff>608656</xdr:colOff>
      <xdr:row>12</xdr:row>
      <xdr:rowOff>171740</xdr:rowOff>
    </xdr:to>
    <xdr:pic>
      <xdr:nvPicPr>
        <xdr:cNvPr id="5" name="Imagen 4">
          <a:extLst>
            <a:ext uri="{FF2B5EF4-FFF2-40B4-BE49-F238E27FC236}">
              <a16:creationId xmlns:a16="http://schemas.microsoft.com/office/drawing/2014/main" id="{53CC613D-5001-48D3-2BEA-A52C659942D5}"/>
            </a:ext>
          </a:extLst>
        </xdr:cNvPr>
        <xdr:cNvPicPr>
          <a:picLocks noChangeAspect="1"/>
        </xdr:cNvPicPr>
      </xdr:nvPicPr>
      <xdr:blipFill rotWithShape="1">
        <a:blip xmlns:r="http://schemas.openxmlformats.org/officeDocument/2006/relationships" r:embed="rId2"/>
        <a:srcRect l="3657"/>
        <a:stretch/>
      </xdr:blipFill>
      <xdr:spPr>
        <a:xfrm>
          <a:off x="5505449" y="942975"/>
          <a:ext cx="4266257" cy="17909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12160</xdr:colOff>
      <xdr:row>11</xdr:row>
      <xdr:rowOff>917</xdr:rowOff>
    </xdr:from>
    <xdr:to>
      <xdr:col>17</xdr:col>
      <xdr:colOff>738867</xdr:colOff>
      <xdr:row>30</xdr:row>
      <xdr:rowOff>179294</xdr:rowOff>
    </xdr:to>
    <xdr:graphicFrame macro="">
      <xdr:nvGraphicFramePr>
        <xdr:cNvPr id="4" name="Gráfico 3">
          <a:extLst>
            <a:ext uri="{FF2B5EF4-FFF2-40B4-BE49-F238E27FC236}">
              <a16:creationId xmlns:a16="http://schemas.microsoft.com/office/drawing/2014/main" id="{E2FC622D-3C4F-EF4E-4A3C-B49DA5521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8989</xdr:colOff>
      <xdr:row>33</xdr:row>
      <xdr:rowOff>2048</xdr:rowOff>
    </xdr:from>
    <xdr:to>
      <xdr:col>16</xdr:col>
      <xdr:colOff>0</xdr:colOff>
      <xdr:row>54</xdr:row>
      <xdr:rowOff>168088</xdr:rowOff>
    </xdr:to>
    <xdr:graphicFrame macro="">
      <xdr:nvGraphicFramePr>
        <xdr:cNvPr id="5" name="Gráfico 4">
          <a:extLst>
            <a:ext uri="{FF2B5EF4-FFF2-40B4-BE49-F238E27FC236}">
              <a16:creationId xmlns:a16="http://schemas.microsoft.com/office/drawing/2014/main" id="{F4082651-246D-708C-9D50-472D5FDFC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150183</xdr:colOff>
      <xdr:row>1</xdr:row>
      <xdr:rowOff>60010</xdr:rowOff>
    </xdr:from>
    <xdr:to>
      <xdr:col>14</xdr:col>
      <xdr:colOff>555764</xdr:colOff>
      <xdr:row>9</xdr:row>
      <xdr:rowOff>72489</xdr:rowOff>
    </xdr:to>
    <xdr:pic>
      <xdr:nvPicPr>
        <xdr:cNvPr id="2" name="Imagen 1">
          <a:extLst>
            <a:ext uri="{FF2B5EF4-FFF2-40B4-BE49-F238E27FC236}">
              <a16:creationId xmlns:a16="http://schemas.microsoft.com/office/drawing/2014/main" id="{6C4A228F-AB83-129D-9B22-F4C6C9119E93}"/>
            </a:ext>
          </a:extLst>
        </xdr:cNvPr>
        <xdr:cNvPicPr>
          <a:picLocks noChangeAspect="1"/>
        </xdr:cNvPicPr>
      </xdr:nvPicPr>
      <xdr:blipFill>
        <a:blip xmlns:r="http://schemas.openxmlformats.org/officeDocument/2006/relationships" r:embed="rId3"/>
        <a:stretch>
          <a:fillRect/>
        </a:stretch>
      </xdr:blipFill>
      <xdr:spPr>
        <a:xfrm>
          <a:off x="8541708" y="526735"/>
          <a:ext cx="1929581" cy="17473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348503</xdr:colOff>
      <xdr:row>1</xdr:row>
      <xdr:rowOff>8741</xdr:rowOff>
    </xdr:from>
    <xdr:to>
      <xdr:col>7</xdr:col>
      <xdr:colOff>507800</xdr:colOff>
      <xdr:row>6</xdr:row>
      <xdr:rowOff>105974</xdr:rowOff>
    </xdr:to>
    <xdr:pic>
      <xdr:nvPicPr>
        <xdr:cNvPr id="2" name="Imagen 1">
          <a:extLst>
            <a:ext uri="{FF2B5EF4-FFF2-40B4-BE49-F238E27FC236}">
              <a16:creationId xmlns:a16="http://schemas.microsoft.com/office/drawing/2014/main" id="{1365D083-C1A3-1149-9CD6-060B66974E80}"/>
            </a:ext>
          </a:extLst>
        </xdr:cNvPr>
        <xdr:cNvPicPr>
          <a:picLocks noChangeAspect="1"/>
        </xdr:cNvPicPr>
      </xdr:nvPicPr>
      <xdr:blipFill>
        <a:blip xmlns:r="http://schemas.openxmlformats.org/officeDocument/2006/relationships" r:embed="rId1"/>
        <a:stretch>
          <a:fillRect/>
        </a:stretch>
      </xdr:blipFill>
      <xdr:spPr>
        <a:xfrm>
          <a:off x="3215528" y="208766"/>
          <a:ext cx="1521373" cy="1130488"/>
        </a:xfrm>
        <a:prstGeom prst="rect">
          <a:avLst/>
        </a:prstGeom>
      </xdr:spPr>
    </xdr:pic>
    <xdr:clientData/>
  </xdr:twoCellAnchor>
  <xdr:twoCellAnchor editAs="oneCell">
    <xdr:from>
      <xdr:col>9</xdr:col>
      <xdr:colOff>86060</xdr:colOff>
      <xdr:row>1</xdr:row>
      <xdr:rowOff>85726</xdr:rowOff>
    </xdr:from>
    <xdr:to>
      <xdr:col>10</xdr:col>
      <xdr:colOff>359230</xdr:colOff>
      <xdr:row>6</xdr:row>
      <xdr:rowOff>128795</xdr:rowOff>
    </xdr:to>
    <xdr:pic>
      <xdr:nvPicPr>
        <xdr:cNvPr id="3" name="Imagen 2">
          <a:extLst>
            <a:ext uri="{FF2B5EF4-FFF2-40B4-BE49-F238E27FC236}">
              <a16:creationId xmlns:a16="http://schemas.microsoft.com/office/drawing/2014/main" id="{CDE26AEC-1731-38F0-E1C9-7541F929AF09}"/>
            </a:ext>
          </a:extLst>
        </xdr:cNvPr>
        <xdr:cNvPicPr>
          <a:picLocks noChangeAspect="1"/>
        </xdr:cNvPicPr>
      </xdr:nvPicPr>
      <xdr:blipFill>
        <a:blip xmlns:r="http://schemas.openxmlformats.org/officeDocument/2006/relationships" r:embed="rId2"/>
        <a:stretch>
          <a:fillRect/>
        </a:stretch>
      </xdr:blipFill>
      <xdr:spPr>
        <a:xfrm>
          <a:off x="5067635" y="285751"/>
          <a:ext cx="1035170" cy="1076324"/>
        </a:xfrm>
        <a:prstGeom prst="rect">
          <a:avLst/>
        </a:prstGeom>
      </xdr:spPr>
    </xdr:pic>
    <xdr:clientData/>
  </xdr:twoCellAnchor>
  <xdr:twoCellAnchor>
    <xdr:from>
      <xdr:col>4</xdr:col>
      <xdr:colOff>17308</xdr:colOff>
      <xdr:row>45</xdr:row>
      <xdr:rowOff>17566</xdr:rowOff>
    </xdr:from>
    <xdr:to>
      <xdr:col>10</xdr:col>
      <xdr:colOff>733423</xdr:colOff>
      <xdr:row>59</xdr:row>
      <xdr:rowOff>161925</xdr:rowOff>
    </xdr:to>
    <xdr:graphicFrame macro="">
      <xdr:nvGraphicFramePr>
        <xdr:cNvPr id="4" name="Gráfico 3">
          <a:extLst>
            <a:ext uri="{FF2B5EF4-FFF2-40B4-BE49-F238E27FC236}">
              <a16:creationId xmlns:a16="http://schemas.microsoft.com/office/drawing/2014/main" id="{069CD433-F19C-EB77-1358-0FBE1D884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306849</xdr:colOff>
      <xdr:row>21</xdr:row>
      <xdr:rowOff>23636</xdr:rowOff>
    </xdr:from>
    <xdr:to>
      <xdr:col>11</xdr:col>
      <xdr:colOff>200027</xdr:colOff>
      <xdr:row>35</xdr:row>
      <xdr:rowOff>100900</xdr:rowOff>
    </xdr:to>
    <xdr:pic>
      <xdr:nvPicPr>
        <xdr:cNvPr id="5" name="Imagen 4">
          <a:extLst>
            <a:ext uri="{FF2B5EF4-FFF2-40B4-BE49-F238E27FC236}">
              <a16:creationId xmlns:a16="http://schemas.microsoft.com/office/drawing/2014/main" id="{4E40ECC5-02AF-7448-E832-9EFD6313EC9C}"/>
            </a:ext>
          </a:extLst>
        </xdr:cNvPr>
        <xdr:cNvPicPr>
          <a:picLocks noChangeAspect="1"/>
        </xdr:cNvPicPr>
      </xdr:nvPicPr>
      <xdr:blipFill>
        <a:blip xmlns:r="http://schemas.openxmlformats.org/officeDocument/2006/relationships" r:embed="rId4"/>
        <a:stretch>
          <a:fillRect/>
        </a:stretch>
      </xdr:blipFill>
      <xdr:spPr>
        <a:xfrm>
          <a:off x="5297949" y="4128911"/>
          <a:ext cx="2112502" cy="2827090"/>
        </a:xfrm>
        <a:prstGeom prst="rect">
          <a:avLst/>
        </a:prstGeom>
      </xdr:spPr>
    </xdr:pic>
    <xdr:clientData/>
  </xdr:twoCellAnchor>
  <xdr:twoCellAnchor editAs="oneCell">
    <xdr:from>
      <xdr:col>8</xdr:col>
      <xdr:colOff>318566</xdr:colOff>
      <xdr:row>83</xdr:row>
      <xdr:rowOff>18252</xdr:rowOff>
    </xdr:from>
    <xdr:to>
      <xdr:col>10</xdr:col>
      <xdr:colOff>469562</xdr:colOff>
      <xdr:row>94</xdr:row>
      <xdr:rowOff>193650</xdr:rowOff>
    </xdr:to>
    <xdr:pic>
      <xdr:nvPicPr>
        <xdr:cNvPr id="6" name="Imagen 5">
          <a:extLst>
            <a:ext uri="{FF2B5EF4-FFF2-40B4-BE49-F238E27FC236}">
              <a16:creationId xmlns:a16="http://schemas.microsoft.com/office/drawing/2014/main" id="{3063919E-82ED-0254-AA86-9CE540613EF3}"/>
            </a:ext>
          </a:extLst>
        </xdr:cNvPr>
        <xdr:cNvPicPr>
          <a:picLocks noChangeAspect="1"/>
        </xdr:cNvPicPr>
      </xdr:nvPicPr>
      <xdr:blipFill>
        <a:blip xmlns:r="http://schemas.openxmlformats.org/officeDocument/2006/relationships" r:embed="rId5"/>
        <a:stretch>
          <a:fillRect/>
        </a:stretch>
      </xdr:blipFill>
      <xdr:spPr>
        <a:xfrm>
          <a:off x="5316390" y="16165928"/>
          <a:ext cx="1607759" cy="2270898"/>
        </a:xfrm>
        <a:prstGeom prst="rect">
          <a:avLst/>
        </a:prstGeom>
      </xdr:spPr>
    </xdr:pic>
    <xdr:clientData/>
  </xdr:twoCellAnchor>
  <xdr:twoCellAnchor>
    <xdr:from>
      <xdr:col>4</xdr:col>
      <xdr:colOff>33617</xdr:colOff>
      <xdr:row>98</xdr:row>
      <xdr:rowOff>22411</xdr:rowOff>
    </xdr:from>
    <xdr:to>
      <xdr:col>10</xdr:col>
      <xdr:colOff>717176</xdr:colOff>
      <xdr:row>113</xdr:row>
      <xdr:rowOff>168088</xdr:rowOff>
    </xdr:to>
    <xdr:graphicFrame macro="">
      <xdr:nvGraphicFramePr>
        <xdr:cNvPr id="9" name="Gráfico 8">
          <a:extLst>
            <a:ext uri="{FF2B5EF4-FFF2-40B4-BE49-F238E27FC236}">
              <a16:creationId xmlns:a16="http://schemas.microsoft.com/office/drawing/2014/main" id="{D1170F39-11E6-4F48-B54B-416EDCB7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350354</xdr:colOff>
      <xdr:row>121</xdr:row>
      <xdr:rowOff>114300</xdr:rowOff>
    </xdr:from>
    <xdr:ext cx="1270091" cy="320280"/>
    <mc:AlternateContent xmlns:mc="http://schemas.openxmlformats.org/markup-compatibility/2006">
      <mc:Choice xmlns:a14="http://schemas.microsoft.com/office/drawing/2010/main" Requires="a14">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𝐼</m:t>
                        </m:r>
                      </m:e>
                      <m:sub>
                        <m:r>
                          <a:rPr lang="es-ES" sz="1100" b="0" i="1">
                            <a:latin typeface="Cambria Math" panose="02040503050406030204" pitchFamily="18" charset="0"/>
                          </a:rPr>
                          <m:t>𝐷</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𝑘</m:t>
                        </m:r>
                      </m:num>
                      <m:den>
                        <m:r>
                          <a:rPr lang="es-ES" sz="1100" b="0" i="1">
                            <a:latin typeface="Cambria Math" panose="02040503050406030204" pitchFamily="18" charset="0"/>
                          </a:rPr>
                          <m:t>2</m:t>
                        </m:r>
                      </m:den>
                    </m:f>
                    <m:sSup>
                      <m:sSupPr>
                        <m:ctrlPr>
                          <a:rPr lang="es-ES" sz="1100" b="0" i="1">
                            <a:latin typeface="Cambria Math" panose="02040503050406030204" pitchFamily="18" charset="0"/>
                          </a:rPr>
                        </m:ctrlPr>
                      </m:sSupPr>
                      <m:e>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r>
                          <a:rPr lang="es-ES" sz="1100" b="0" i="1">
                            <a:solidFill>
                              <a:schemeClr val="tx1"/>
                            </a:solidFill>
                            <a:effectLst/>
                            <a:latin typeface="+mn-lt"/>
                            <a:ea typeface="+mn-ea"/>
                            <a:cs typeface="+mn-cs"/>
                          </a:rPr>
                          <m:t>)</m:t>
                        </m:r>
                      </m:e>
                      <m:sup>
                        <m:r>
                          <a:rPr lang="es-ES" sz="1100" b="0" i="1">
                            <a:latin typeface="Cambria Math" panose="02040503050406030204" pitchFamily="18" charset="0"/>
                          </a:rPr>
                          <m:t>2</m:t>
                        </m:r>
                      </m:sup>
                    </m:sSup>
                  </m:oMath>
                </m:oMathPara>
              </a14:m>
              <a:endParaRPr lang="es-ES" sz="1100"/>
            </a:p>
          </xdr:txBody>
        </xdr:sp>
      </mc:Choice>
      <mc:Fallback>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𝐼_𝐷=𝑘/2 〖</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2</a:t>
              </a:r>
              <a:endParaRPr lang="es-ES" sz="1100"/>
            </a:p>
          </xdr:txBody>
        </xdr:sp>
      </mc:Fallback>
    </mc:AlternateContent>
    <xdr:clientData/>
  </xdr:oneCellAnchor>
  <xdr:oneCellAnchor>
    <xdr:from>
      <xdr:col>4</xdr:col>
      <xdr:colOff>24848</xdr:colOff>
      <xdr:row>125</xdr:row>
      <xdr:rowOff>106017</xdr:rowOff>
    </xdr:from>
    <xdr:ext cx="5234609" cy="351186"/>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0,027 </m:t>
                    </m:r>
                    <m:sSub>
                      <m:sSubPr>
                        <m:ctrlPr>
                          <a:rPr lang="es-ES" sz="1100" b="0" i="1">
                            <a:latin typeface="Cambria Math" panose="02040503050406030204" pitchFamily="18" charset="0"/>
                          </a:rPr>
                        </m:ctrlPr>
                      </m:sSubPr>
                      <m:e>
                        <m:r>
                          <a:rPr lang="es-ES" sz="1100" b="0" i="1">
                            <a:latin typeface="Cambria Math" panose="02040503050406030204" pitchFamily="18" charset="0"/>
                          </a:rPr>
                          <m:t>𝑉</m:t>
                        </m:r>
                      </m:e>
                      <m:sub>
                        <m:r>
                          <a:rPr lang="es-ES" sz="1100" b="0" i="1">
                            <a:latin typeface="Cambria Math" panose="02040503050406030204" pitchFamily="18" charset="0"/>
                          </a:rPr>
                          <m:t>𝐺𝑆</m:t>
                        </m:r>
                      </m:sub>
                    </m:sSub>
                    <m:r>
                      <a:rPr lang="es-ES" sz="1100" b="0" i="1">
                        <a:latin typeface="Cambria Math" panose="02040503050406030204" pitchFamily="18" charset="0"/>
                      </a:rPr>
                      <m:t>−0,0026= </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𝑘</m:t>
                        </m:r>
                      </m:num>
                      <m:den>
                        <m:r>
                          <a:rPr lang="es-ES" sz="1100" b="0" i="1">
                            <a:solidFill>
                              <a:schemeClr val="tx1"/>
                            </a:solidFill>
                            <a:effectLst/>
                            <a:latin typeface="+mn-lt"/>
                            <a:ea typeface="+mn-ea"/>
                            <a:cs typeface="+mn-cs"/>
                          </a:rPr>
                          <m:t>2</m:t>
                        </m:r>
                      </m:den>
                    </m:f>
                    <m:sSup>
                      <m:sSupPr>
                        <m:ctrlPr>
                          <a:rPr lang="es-ES" sz="1100" b="0" i="1">
                            <a:solidFill>
                              <a:schemeClr val="tx1"/>
                            </a:solidFill>
                            <a:effectLst/>
                            <a:latin typeface="+mn-lt"/>
                            <a:ea typeface="+mn-ea"/>
                            <a:cs typeface="+mn-cs"/>
                          </a:rPr>
                        </m:ctrlPr>
                      </m:sSupPr>
                      <m:e>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e>
                        </m:d>
                      </m:e>
                      <m:sup>
                        <m:r>
                          <a:rPr lang="es-ES" sz="1100" b="0" i="1">
                            <a:solidFill>
                              <a:schemeClr val="tx1"/>
                            </a:solidFill>
                            <a:effectLst/>
                            <a:latin typeface="+mn-lt"/>
                            <a:ea typeface="+mn-ea"/>
                            <a:cs typeface="+mn-cs"/>
                          </a:rPr>
                          <m:t>2</m:t>
                        </m:r>
                      </m:sup>
                    </m:sSup>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𝑘</m:t>
                    </m:r>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2(</m:t>
                        </m:r>
                        <m:r>
                          <a:rPr lang="es-ES" sz="1100" b="0" i="1">
                            <a:solidFill>
                              <a:schemeClr val="tx1"/>
                            </a:solidFill>
                            <a:effectLst/>
                            <a:latin typeface="+mn-lt"/>
                            <a:ea typeface="+mn-ea"/>
                            <a:cs typeface="+mn-cs"/>
                          </a:rPr>
                          <m:t>0,027 </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𝐺𝑆</m:t>
                            </m:r>
                          </m:sub>
                        </m:sSub>
                        <m:r>
                          <a:rPr lang="es-ES" sz="1100" b="0" i="1">
                            <a:solidFill>
                              <a:schemeClr val="tx1"/>
                            </a:solidFill>
                            <a:effectLst/>
                            <a:latin typeface="+mn-lt"/>
                            <a:ea typeface="+mn-ea"/>
                            <a:cs typeface="+mn-cs"/>
                          </a:rPr>
                          <m:t>−0,0026</m:t>
                        </m:r>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mn-lt"/>
                                <a:ea typeface="+mn-ea"/>
                                <a:cs typeface="+mn-cs"/>
                              </a:rPr>
                            </m:ctrlPr>
                          </m:sSupPr>
                          <m:e>
                            <m:d>
                              <m:dPr>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e>
                            </m:d>
                          </m:e>
                          <m:sup>
                            <m:r>
                              <a:rPr lang="es-ES" sz="1100" b="0" i="1">
                                <a:solidFill>
                                  <a:schemeClr val="tx1"/>
                                </a:solidFill>
                                <a:effectLst/>
                                <a:latin typeface="+mn-lt"/>
                                <a:ea typeface="+mn-ea"/>
                                <a:cs typeface="+mn-cs"/>
                              </a:rPr>
                              <m:t>2</m:t>
                            </m:r>
                          </m:sup>
                        </m:sSup>
                      </m:den>
                    </m:f>
                  </m:oMath>
                </m:oMathPara>
              </a14:m>
              <a:endParaRPr lang="es-ES" sz="1100"/>
            </a:p>
          </xdr:txBody>
        </xdr:sp>
      </mc:Choice>
      <mc:Fallback>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0,027 𝑉_𝐺𝑆−0,0026= </a:t>
              </a:r>
              <a:r>
                <a:rPr lang="es-ES" sz="1100" b="0" i="0">
                  <a:solidFill>
                    <a:schemeClr val="tx1"/>
                  </a:solidFill>
                  <a:effectLst/>
                  <a:latin typeface="+mn-lt"/>
                  <a:ea typeface="+mn-ea"/>
                  <a:cs typeface="+mn-cs"/>
                </a:rPr>
                <a:t> 𝑘/2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;𝑘=(2(</a:t>
              </a:r>
              <a:r>
                <a:rPr lang="es-ES" sz="1100" b="0" i="0">
                  <a:solidFill>
                    <a:schemeClr val="tx1"/>
                  </a:solidFill>
                  <a:effectLst/>
                  <a:latin typeface="+mn-lt"/>
                  <a:ea typeface="+mn-ea"/>
                  <a:cs typeface="+mn-cs"/>
                </a:rPr>
                <a:t>0,027 𝑉_𝐺𝑆−0,0026</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|)^2</a:t>
              </a:r>
              <a:r>
                <a:rPr lang="es-ES" sz="1100" b="0" i="0">
                  <a:solidFill>
                    <a:schemeClr val="tx1"/>
                  </a:solidFill>
                  <a:effectLst/>
                  <a:latin typeface="Cambria Math" panose="02040503050406030204" pitchFamily="18" charset="0"/>
                  <a:ea typeface="+mn-ea"/>
                  <a:cs typeface="+mn-cs"/>
                </a:rPr>
                <a:t> </a:t>
              </a:r>
              <a:endParaRPr lang="es-ES"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gres-my.sharepoint.com/personal/e_jesusmuve18_ms_ugr_es/Documents/Diagrama%20de%20B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s>
    <sheetDataSet>
      <sheetData sheetId="0" refreshError="1"/>
      <sheetData sheetId="1" refreshError="1"/>
      <sheetData sheetId="2">
        <row r="2">
          <cell r="B2" t="str">
            <v>f teo (Hz)</v>
          </cell>
        </row>
        <row r="3">
          <cell r="B3">
            <v>100</v>
          </cell>
          <cell r="D3">
            <v>628.31853071795865</v>
          </cell>
          <cell r="H3">
            <v>0</v>
          </cell>
        </row>
        <row r="4">
          <cell r="B4">
            <v>200</v>
          </cell>
          <cell r="D4">
            <v>1256.6370614359173</v>
          </cell>
          <cell r="H4">
            <v>0</v>
          </cell>
        </row>
        <row r="5">
          <cell r="B5">
            <v>300</v>
          </cell>
          <cell r="D5">
            <v>1884.9555921538758</v>
          </cell>
          <cell r="H5">
            <v>0</v>
          </cell>
        </row>
        <row r="6">
          <cell r="B6">
            <v>500</v>
          </cell>
          <cell r="D6">
            <v>3141.5926535897929</v>
          </cell>
          <cell r="H6">
            <v>0</v>
          </cell>
        </row>
        <row r="7">
          <cell r="B7">
            <v>800</v>
          </cell>
          <cell r="D7">
            <v>5026.5482457436692</v>
          </cell>
          <cell r="H7">
            <v>0</v>
          </cell>
        </row>
        <row r="8">
          <cell r="B8">
            <v>1000</v>
          </cell>
          <cell r="D8">
            <v>6283.1853071795858</v>
          </cell>
          <cell r="H8">
            <v>0</v>
          </cell>
        </row>
        <row r="9">
          <cell r="B9">
            <v>2000</v>
          </cell>
          <cell r="D9">
            <v>12566.370614359172</v>
          </cell>
          <cell r="H9">
            <v>0</v>
          </cell>
        </row>
        <row r="10">
          <cell r="B10">
            <v>5000</v>
          </cell>
          <cell r="D10">
            <v>31415.926535897932</v>
          </cell>
          <cell r="H10">
            <v>0</v>
          </cell>
        </row>
        <row r="11">
          <cell r="B11">
            <v>8000</v>
          </cell>
          <cell r="D11">
            <v>50265.482457436687</v>
          </cell>
          <cell r="H11">
            <v>-8.4741058865093824E-2</v>
          </cell>
        </row>
        <row r="12">
          <cell r="B12">
            <v>10000</v>
          </cell>
          <cell r="D12">
            <v>62831.853071795864</v>
          </cell>
          <cell r="H12">
            <v>-8.4741058865093824E-2</v>
          </cell>
        </row>
        <row r="13">
          <cell r="B13">
            <v>20000</v>
          </cell>
          <cell r="D13">
            <v>125663.70614359173</v>
          </cell>
          <cell r="H13">
            <v>-0.25674449410344496</v>
          </cell>
        </row>
        <row r="14">
          <cell r="B14">
            <v>30000</v>
          </cell>
          <cell r="D14">
            <v>188495.55921538759</v>
          </cell>
          <cell r="H14">
            <v>-0.70944636324437749</v>
          </cell>
        </row>
        <row r="15">
          <cell r="B15">
            <v>50000</v>
          </cell>
          <cell r="D15">
            <v>314159.26535897929</v>
          </cell>
          <cell r="H15">
            <v>-1.6864177140007173</v>
          </cell>
        </row>
        <row r="16">
          <cell r="B16">
            <v>80000</v>
          </cell>
          <cell r="D16">
            <v>502654.82457436691</v>
          </cell>
          <cell r="H16">
            <v>-3.0980391997148637</v>
          </cell>
        </row>
        <row r="17">
          <cell r="B17">
            <v>100000</v>
          </cell>
          <cell r="D17">
            <v>628318.53071795858</v>
          </cell>
          <cell r="H17">
            <v>-4.5829597671571145</v>
          </cell>
        </row>
        <row r="18">
          <cell r="B18">
            <v>200000</v>
          </cell>
          <cell r="D18">
            <v>125663.70614359173</v>
          </cell>
          <cell r="H18">
            <v>-8.1787078594700162</v>
          </cell>
        </row>
        <row r="19">
          <cell r="B19">
            <v>300000</v>
          </cell>
          <cell r="C19">
            <v>300000</v>
          </cell>
          <cell r="D19">
            <v>1884955.5921538759</v>
          </cell>
          <cell r="H19">
            <v>-10.611311478932572</v>
          </cell>
        </row>
        <row r="20">
          <cell r="B20">
            <v>500000</v>
          </cell>
          <cell r="C20">
            <v>500000</v>
          </cell>
          <cell r="D20">
            <v>3141592.653589793</v>
          </cell>
          <cell r="H20">
            <v>-13.979400086720377</v>
          </cell>
        </row>
        <row r="21">
          <cell r="B21">
            <v>800000</v>
          </cell>
          <cell r="C21">
            <v>800000</v>
          </cell>
          <cell r="D21">
            <v>5026548.2457436686</v>
          </cell>
          <cell r="H21">
            <v>-17.27560505964022</v>
          </cell>
        </row>
        <row r="22">
          <cell r="B22">
            <v>1000000</v>
          </cell>
          <cell r="C22">
            <v>1000000</v>
          </cell>
          <cell r="D22">
            <v>6283185.307179586</v>
          </cell>
          <cell r="H22">
            <v>-19.554472105776956</v>
          </cell>
        </row>
      </sheetData>
    </sheetDataSet>
  </externalBook>
</externalLink>
</file>

<file path=xl/persons/person.xml><?xml version="1.0" encoding="utf-8"?>
<personList xmlns="http://schemas.microsoft.com/office/spreadsheetml/2018/threadedcomments" xmlns:x="http://schemas.openxmlformats.org/spreadsheetml/2006/main">
  <person displayName="JESUS MUÑOZ VELASCO" id="{01C28679-1D70-40AE-AFF8-19A1803389F2}" userId="JESUS MUÑOZ VELASCO"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2-12-08T02:10:57.64" personId="{01C28679-1D70-40AE-AFF8-19A1803389F2}" id="{6CC02D17-855C-4635-BDBD-432C6DD3D0BF}">
    <text>Marrón - Negro - Naranja - Oro</text>
  </threadedComment>
  <threadedComment ref="G2" dT="2022-12-08T02:10:40.16" personId="{01C28679-1D70-40AE-AFF8-19A1803389F2}" id="{E383F7D7-5CB5-45A6-B45E-7158F0AC7422}">
    <text>Amarillo - Violeta - Rojo - Oro</text>
  </threadedComment>
  <threadedComment ref="L62" dT="2022-12-08T02:00:14.49" personId="{01C28679-1D70-40AE-AFF8-19A1803389F2}" id="{8A62AAED-5F88-4CE2-813C-FF1EDEB939BD}">
    <text>Mediante la Ley de Ohm
I=∆V/R</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2-12-08T12:30:41.48" personId="{01C28679-1D70-40AE-AFF8-19A1803389F2}" id="{46EF4820-0D25-46C1-8333-424D7592E12B}">
    <text>Finalmente se utilizó una resistencia de 1Ω debido a que no había en el laboratorio de 10 Ω</text>
  </threadedComment>
  <threadedComment ref="D105" dT="2022-12-08T13:17:40.55" personId="{01C28679-1D70-40AE-AFF8-19A1803389F2}" id="{F8F0D57B-2BF7-44AD-8505-6D9DA4788A91}">
    <text>Medido anulando V1</text>
  </threadedComment>
  <threadedComment ref="D106" dT="2022-12-08T13:18:00.48" personId="{01C28679-1D70-40AE-AFF8-19A1803389F2}" id="{768051EE-7670-4870-AD6E-F8E3B75A168B}">
    <text xml:space="preserve">Medido anulando V2
</text>
  </threadedComment>
</ThreadedComments>
</file>

<file path=xl/threadedComments/threadedComment3.xml><?xml version="1.0" encoding="utf-8"?>
<ThreadedComments xmlns="http://schemas.microsoft.com/office/spreadsheetml/2018/threadedcomments" xmlns:x="http://schemas.openxmlformats.org/spreadsheetml/2006/main">
  <threadedComment ref="I30" dT="2022-12-08T13:28:43.44" personId="{01C28679-1D70-40AE-AFF8-19A1803389F2}" id="{F3642CAB-0DA4-40ED-A023-BAC4E955AEAC}">
    <text>Se corresponde con el valor asociado a la frecuencia de corte</text>
  </threadedComment>
</ThreadedComments>
</file>

<file path=xl/threadedComments/threadedComment4.xml><?xml version="1.0" encoding="utf-8"?>
<ThreadedComments xmlns="http://schemas.microsoft.com/office/spreadsheetml/2018/threadedcomments" xmlns:x="http://schemas.openxmlformats.org/spreadsheetml/2006/main">
  <threadedComment ref="J71" dT="2022-12-08T02:28:46.82" personId="{01C28679-1D70-40AE-AFF8-19A1803389F2}" id="{5B4A7157-E2C4-4C2E-BDE4-C0AB4C0990E0}">
    <text>Datos extraídos de la tabla de Alberto ya que en nuestro circuito salía constante 0 ya fuese porque no estaba bien conectado el circuito integrado o porque este estuviese dañado</text>
  </threadedComment>
  <threadedComment ref="J71" dT="2022-12-08T02:29:32.91" personId="{01C28679-1D70-40AE-AFF8-19A1803389F2}" id="{74D2939C-E8BD-4B81-AD42-30BDA05D6A70}" parentId="{5B4A7157-E2C4-4C2E-BDE4-C0AB4C0990E0}">
    <text xml:space="preserve">El resto de columnas se corresponden con los datos de nuestro montaje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4368-554F-4DD1-AB07-BEB182034A80}">
  <sheetPr>
    <pageSetUpPr autoPageBreaks="0"/>
  </sheetPr>
  <dimension ref="C4:I23"/>
  <sheetViews>
    <sheetView zoomScaleNormal="100" workbookViewId="0">
      <selection activeCell="J10" sqref="J10"/>
    </sheetView>
  </sheetViews>
  <sheetFormatPr baseColWidth="10" defaultRowHeight="15" x14ac:dyDescent="0.25"/>
  <sheetData>
    <row r="4" spans="3:9" ht="15.75" thickBot="1" x14ac:dyDescent="0.3"/>
    <row r="5" spans="3:9" x14ac:dyDescent="0.25">
      <c r="C5" s="267" t="s">
        <v>179</v>
      </c>
      <c r="D5" s="268"/>
      <c r="E5" s="268"/>
      <c r="F5" s="268"/>
      <c r="G5" s="268"/>
      <c r="H5" s="269"/>
    </row>
    <row r="6" spans="3:9" ht="15.75" thickBot="1" x14ac:dyDescent="0.3">
      <c r="C6" s="270"/>
      <c r="D6" s="271"/>
      <c r="E6" s="271"/>
      <c r="F6" s="271"/>
      <c r="G6" s="271"/>
      <c r="H6" s="272"/>
      <c r="I6" s="262"/>
    </row>
    <row r="7" spans="3:9" ht="15.75" thickBot="1" x14ac:dyDescent="0.3">
      <c r="C7" s="135" t="s">
        <v>180</v>
      </c>
      <c r="D7" s="136"/>
      <c r="E7" s="136" t="s">
        <v>181</v>
      </c>
      <c r="F7" s="136"/>
      <c r="G7" s="136"/>
      <c r="H7" s="47" t="s">
        <v>182</v>
      </c>
    </row>
    <row r="8" spans="3:9" x14ac:dyDescent="0.25">
      <c r="C8" s="273" t="s">
        <v>183</v>
      </c>
      <c r="D8" s="274"/>
      <c r="E8" s="274" t="s">
        <v>184</v>
      </c>
      <c r="F8" s="274"/>
      <c r="G8" s="274"/>
      <c r="H8" s="275" t="s">
        <v>185</v>
      </c>
    </row>
    <row r="9" spans="3:9" ht="15.75" thickBot="1" x14ac:dyDescent="0.3">
      <c r="C9" s="276" t="s">
        <v>186</v>
      </c>
      <c r="D9" s="277"/>
      <c r="E9" s="277" t="s">
        <v>187</v>
      </c>
      <c r="F9" s="277"/>
      <c r="G9" s="277"/>
      <c r="H9" s="278" t="s">
        <v>185</v>
      </c>
    </row>
    <row r="10" spans="3:9" ht="15.75" thickBot="1" x14ac:dyDescent="0.3"/>
    <row r="11" spans="3:9" x14ac:dyDescent="0.25">
      <c r="C11" s="96" t="s">
        <v>188</v>
      </c>
      <c r="D11" s="116"/>
      <c r="E11" s="116"/>
      <c r="F11" s="116"/>
      <c r="G11" s="116"/>
      <c r="H11" s="117"/>
    </row>
    <row r="12" spans="3:9" x14ac:dyDescent="0.25">
      <c r="C12" s="124"/>
      <c r="D12" s="108"/>
      <c r="E12" s="108"/>
      <c r="F12" s="108"/>
      <c r="G12" s="108"/>
      <c r="H12" s="180"/>
    </row>
    <row r="13" spans="3:9" x14ac:dyDescent="0.25">
      <c r="C13" s="124"/>
      <c r="D13" s="108"/>
      <c r="E13" s="108"/>
      <c r="F13" s="108"/>
      <c r="G13" s="108"/>
      <c r="H13" s="180"/>
    </row>
    <row r="14" spans="3:9" x14ac:dyDescent="0.25">
      <c r="C14" s="124"/>
      <c r="D14" s="108"/>
      <c r="E14" s="108"/>
      <c r="F14" s="108"/>
      <c r="G14" s="108"/>
      <c r="H14" s="180"/>
    </row>
    <row r="15" spans="3:9" ht="15.75" thickBot="1" x14ac:dyDescent="0.3">
      <c r="C15" s="118"/>
      <c r="D15" s="109"/>
      <c r="E15" s="109"/>
      <c r="F15" s="109"/>
      <c r="G15" s="109"/>
      <c r="H15" s="119"/>
    </row>
    <row r="16" spans="3:9" ht="15.75" thickBot="1" x14ac:dyDescent="0.3"/>
    <row r="17" spans="3:8" x14ac:dyDescent="0.25">
      <c r="C17" s="279"/>
      <c r="D17" s="280"/>
      <c r="E17" s="280"/>
      <c r="F17" s="280"/>
      <c r="G17" s="280"/>
      <c r="H17" s="281"/>
    </row>
    <row r="18" spans="3:8" x14ac:dyDescent="0.25">
      <c r="C18" s="282"/>
      <c r="D18" s="283"/>
      <c r="E18" s="283"/>
      <c r="F18" s="283"/>
      <c r="G18" s="283"/>
      <c r="H18" s="284"/>
    </row>
    <row r="19" spans="3:8" x14ac:dyDescent="0.25">
      <c r="C19" s="282"/>
      <c r="D19" s="283"/>
      <c r="E19" s="283"/>
      <c r="F19" s="283"/>
      <c r="G19" s="283"/>
      <c r="H19" s="284"/>
    </row>
    <row r="20" spans="3:8" x14ac:dyDescent="0.25">
      <c r="C20" s="282"/>
      <c r="D20" s="283"/>
      <c r="E20" s="283"/>
      <c r="F20" s="283"/>
      <c r="G20" s="283"/>
      <c r="H20" s="284"/>
    </row>
    <row r="21" spans="3:8" x14ac:dyDescent="0.25">
      <c r="C21" s="282"/>
      <c r="D21" s="283"/>
      <c r="E21" s="283"/>
      <c r="F21" s="283"/>
      <c r="G21" s="283"/>
      <c r="H21" s="284"/>
    </row>
    <row r="22" spans="3:8" x14ac:dyDescent="0.25">
      <c r="C22" s="282"/>
      <c r="D22" s="283"/>
      <c r="E22" s="283"/>
      <c r="F22" s="283"/>
      <c r="G22" s="283"/>
      <c r="H22" s="284"/>
    </row>
    <row r="23" spans="3:8" ht="15.75" thickBot="1" x14ac:dyDescent="0.3">
      <c r="C23" s="285"/>
      <c r="D23" s="286"/>
      <c r="E23" s="286"/>
      <c r="F23" s="286"/>
      <c r="G23" s="286"/>
      <c r="H23" s="287"/>
    </row>
  </sheetData>
  <mergeCells count="9">
    <mergeCell ref="C17:H23"/>
    <mergeCell ref="C9:D9"/>
    <mergeCell ref="E8:G8"/>
    <mergeCell ref="E9:G9"/>
    <mergeCell ref="C11:H15"/>
    <mergeCell ref="C7:D7"/>
    <mergeCell ref="E7:G7"/>
    <mergeCell ref="C5:H6"/>
    <mergeCell ref="C8:D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69E1-B1BB-40CD-90C7-F2B6D084F59F}">
  <sheetPr codeName="Hoja1"/>
  <dimension ref="B1:P82"/>
  <sheetViews>
    <sheetView zoomScaleNormal="100" workbookViewId="0">
      <selection activeCell="M22" sqref="M22"/>
    </sheetView>
  </sheetViews>
  <sheetFormatPr baseColWidth="10" defaultRowHeight="15" x14ac:dyDescent="0.25"/>
  <cols>
    <col min="1" max="3" width="6.7109375" customWidth="1"/>
    <col min="4" max="4" width="13" style="10" customWidth="1"/>
    <col min="5" max="8" width="13" customWidth="1"/>
    <col min="12" max="13" width="12" bestFit="1" customWidth="1"/>
  </cols>
  <sheetData>
    <row r="1" spans="2:15" ht="15.75" customHeight="1" thickBot="1" x14ac:dyDescent="0.3"/>
    <row r="2" spans="2:15" ht="15.75" customHeight="1" thickBot="1" x14ac:dyDescent="0.3">
      <c r="B2" s="84" t="s">
        <v>80</v>
      </c>
      <c r="E2" s="41" t="s">
        <v>26</v>
      </c>
      <c r="G2" s="41" t="s">
        <v>27</v>
      </c>
      <c r="K2" s="158"/>
      <c r="L2" s="107"/>
      <c r="M2" s="107"/>
      <c r="N2" s="107"/>
      <c r="O2" s="159"/>
    </row>
    <row r="3" spans="2:15" ht="15.75" thickBot="1" x14ac:dyDescent="0.3">
      <c r="B3" s="85"/>
      <c r="E3" s="51"/>
      <c r="G3" s="51"/>
      <c r="K3" s="160"/>
      <c r="L3" s="144"/>
      <c r="M3" s="144"/>
      <c r="N3" s="144"/>
      <c r="O3" s="145"/>
    </row>
    <row r="4" spans="2:15" x14ac:dyDescent="0.25">
      <c r="B4" s="85"/>
      <c r="K4" s="160"/>
      <c r="L4" s="144"/>
      <c r="M4" s="144"/>
      <c r="N4" s="144"/>
      <c r="O4" s="145"/>
    </row>
    <row r="5" spans="2:15" ht="15.75" thickBot="1" x14ac:dyDescent="0.3">
      <c r="B5" s="85"/>
      <c r="K5" s="160"/>
      <c r="L5" s="144"/>
      <c r="M5" s="144"/>
      <c r="N5" s="144"/>
      <c r="O5" s="145"/>
    </row>
    <row r="6" spans="2:15" ht="15.75" thickBot="1" x14ac:dyDescent="0.3">
      <c r="B6" s="85"/>
      <c r="E6" s="38" t="s">
        <v>21</v>
      </c>
      <c r="F6" s="39" t="s">
        <v>22</v>
      </c>
      <c r="G6" s="39" t="s">
        <v>24</v>
      </c>
      <c r="H6" s="40" t="s">
        <v>25</v>
      </c>
      <c r="K6" s="160"/>
      <c r="L6" s="144"/>
      <c r="M6" s="144"/>
      <c r="N6" s="144"/>
      <c r="O6" s="145"/>
    </row>
    <row r="7" spans="2:15" ht="15.75" thickBot="1" x14ac:dyDescent="0.3">
      <c r="B7" s="86"/>
      <c r="E7" s="33" t="s">
        <v>58</v>
      </c>
      <c r="F7" s="34" t="s">
        <v>61</v>
      </c>
      <c r="G7" s="34" t="s">
        <v>59</v>
      </c>
      <c r="H7" s="35" t="s">
        <v>60</v>
      </c>
      <c r="K7" s="160"/>
      <c r="L7" s="144"/>
      <c r="M7" s="144"/>
      <c r="N7" s="144"/>
      <c r="O7" s="145"/>
    </row>
    <row r="8" spans="2:15" x14ac:dyDescent="0.25">
      <c r="E8" s="10"/>
      <c r="F8" s="10"/>
      <c r="G8" s="10"/>
      <c r="H8" s="10"/>
      <c r="K8" s="160"/>
      <c r="L8" s="144"/>
      <c r="M8" s="144"/>
      <c r="N8" s="144"/>
      <c r="O8" s="145"/>
    </row>
    <row r="9" spans="2:15" ht="15.75" thickBot="1" x14ac:dyDescent="0.3">
      <c r="E9" s="10"/>
      <c r="F9" s="10"/>
      <c r="G9" s="10"/>
      <c r="H9" s="10"/>
      <c r="K9" s="160"/>
      <c r="L9" s="144"/>
      <c r="M9" s="144"/>
      <c r="N9" s="144"/>
      <c r="O9" s="145"/>
    </row>
    <row r="10" spans="2:15" ht="15.75" thickBot="1" x14ac:dyDescent="0.3">
      <c r="B10" s="84" t="s">
        <v>81</v>
      </c>
      <c r="D10" s="41" t="s">
        <v>23</v>
      </c>
      <c r="E10" s="39" t="s">
        <v>28</v>
      </c>
      <c r="F10" s="39" t="s">
        <v>29</v>
      </c>
      <c r="G10" s="39" t="s">
        <v>30</v>
      </c>
      <c r="H10" s="41" t="s">
        <v>31</v>
      </c>
      <c r="K10" s="160"/>
      <c r="L10" s="144"/>
      <c r="M10" s="144"/>
      <c r="N10" s="144"/>
      <c r="O10" s="145"/>
    </row>
    <row r="11" spans="2:15" x14ac:dyDescent="0.25">
      <c r="B11" s="85"/>
      <c r="D11" s="14" t="s">
        <v>26</v>
      </c>
      <c r="E11" s="18">
        <v>9850</v>
      </c>
      <c r="F11" s="18">
        <v>9850</v>
      </c>
      <c r="G11" s="18">
        <v>9860</v>
      </c>
      <c r="H11" s="54">
        <f>AVERAGE(E11:G11)</f>
        <v>9853.3333333333339</v>
      </c>
      <c r="K11" s="160"/>
      <c r="L11" s="144"/>
      <c r="M11" s="144"/>
      <c r="N11" s="144"/>
      <c r="O11" s="145"/>
    </row>
    <row r="12" spans="2:15" ht="15.75" thickBot="1" x14ac:dyDescent="0.3">
      <c r="B12" s="85"/>
      <c r="D12" s="15" t="s">
        <v>27</v>
      </c>
      <c r="E12" s="34">
        <v>4590</v>
      </c>
      <c r="F12" s="34">
        <v>4600</v>
      </c>
      <c r="G12" s="34">
        <v>4600</v>
      </c>
      <c r="H12" s="55">
        <f>AVERAGE(E12:G12)</f>
        <v>4596.666666666667</v>
      </c>
      <c r="K12" s="160"/>
      <c r="L12" s="144"/>
      <c r="M12" s="144"/>
      <c r="N12" s="144"/>
      <c r="O12" s="145"/>
    </row>
    <row r="13" spans="2:15" ht="15.75" thickBot="1" x14ac:dyDescent="0.3">
      <c r="B13" s="85"/>
      <c r="K13" s="160"/>
      <c r="L13" s="144"/>
      <c r="M13" s="144"/>
      <c r="N13" s="144"/>
      <c r="O13" s="145"/>
    </row>
    <row r="14" spans="2:15" ht="33.75" customHeight="1" x14ac:dyDescent="0.25">
      <c r="B14" s="85"/>
      <c r="D14" s="138" t="s">
        <v>62</v>
      </c>
      <c r="E14" s="139"/>
      <c r="G14" s="120" t="s">
        <v>64</v>
      </c>
      <c r="H14" s="121"/>
      <c r="I14" s="122"/>
      <c r="K14" s="160"/>
      <c r="L14" s="144"/>
      <c r="M14" s="144"/>
      <c r="N14" s="144"/>
      <c r="O14" s="145"/>
    </row>
    <row r="15" spans="2:15" ht="35.25" customHeight="1" thickBot="1" x14ac:dyDescent="0.3">
      <c r="B15" s="85"/>
      <c r="D15" s="140" t="s">
        <v>63</v>
      </c>
      <c r="E15" s="141"/>
      <c r="G15" s="126" t="s">
        <v>65</v>
      </c>
      <c r="H15" s="127"/>
      <c r="I15" s="128"/>
      <c r="K15" s="160"/>
      <c r="L15" s="144"/>
      <c r="M15" s="144"/>
      <c r="N15" s="144"/>
      <c r="O15" s="145"/>
    </row>
    <row r="16" spans="2:15" ht="15.75" customHeight="1" thickBot="1" x14ac:dyDescent="0.3">
      <c r="B16" s="85"/>
      <c r="D16" s="56"/>
      <c r="E16" s="56"/>
      <c r="G16" s="57"/>
      <c r="H16" s="57"/>
      <c r="I16" s="57"/>
      <c r="K16" s="161"/>
      <c r="L16" s="146"/>
      <c r="M16" s="146"/>
      <c r="N16" s="146"/>
      <c r="O16" s="147"/>
    </row>
    <row r="17" spans="2:9" ht="15.75" customHeight="1" x14ac:dyDescent="0.25">
      <c r="B17" s="85"/>
      <c r="C17" t="s">
        <v>66</v>
      </c>
      <c r="D17" s="110" t="s">
        <v>67</v>
      </c>
      <c r="E17" s="111"/>
      <c r="F17" s="111"/>
      <c r="G17" s="111"/>
      <c r="H17" s="111"/>
      <c r="I17" s="112"/>
    </row>
    <row r="18" spans="2:9" ht="15.75" customHeight="1" thickBot="1" x14ac:dyDescent="0.3">
      <c r="B18" s="85"/>
      <c r="D18" s="113"/>
      <c r="E18" s="114"/>
      <c r="F18" s="114"/>
      <c r="G18" s="114"/>
      <c r="H18" s="114"/>
      <c r="I18" s="115"/>
    </row>
    <row r="19" spans="2:9" ht="15.75" customHeight="1" thickBot="1" x14ac:dyDescent="0.3">
      <c r="B19" s="85"/>
      <c r="D19" s="56"/>
      <c r="E19" s="56"/>
      <c r="G19" s="57"/>
      <c r="H19" s="57"/>
      <c r="I19" s="57"/>
    </row>
    <row r="20" spans="2:9" ht="15.75" customHeight="1" thickBot="1" x14ac:dyDescent="0.3">
      <c r="B20" s="85"/>
      <c r="D20" s="105" t="s">
        <v>77</v>
      </c>
      <c r="E20" s="106"/>
      <c r="G20" s="105" t="s">
        <v>78</v>
      </c>
      <c r="H20" s="106"/>
      <c r="I20" s="57"/>
    </row>
    <row r="21" spans="2:9" ht="15.75" customHeight="1" x14ac:dyDescent="0.25">
      <c r="B21" s="85"/>
      <c r="D21" s="56"/>
      <c r="E21" s="56"/>
      <c r="G21" s="57"/>
      <c r="H21" s="57"/>
      <c r="I21" s="57"/>
    </row>
    <row r="22" spans="2:9" ht="15.75" thickBot="1" x14ac:dyDescent="0.3">
      <c r="B22" s="85"/>
    </row>
    <row r="23" spans="2:9" ht="15.75" thickBot="1" x14ac:dyDescent="0.3">
      <c r="B23" s="85"/>
      <c r="E23" s="38" t="s">
        <v>32</v>
      </c>
      <c r="F23" s="39" t="s">
        <v>33</v>
      </c>
      <c r="G23" s="39" t="s">
        <v>34</v>
      </c>
      <c r="H23" s="40" t="s">
        <v>35</v>
      </c>
    </row>
    <row r="24" spans="2:9" ht="15.75" thickBot="1" x14ac:dyDescent="0.3">
      <c r="B24" s="86"/>
      <c r="E24" s="33" t="s">
        <v>68</v>
      </c>
      <c r="F24" s="34" t="s">
        <v>69</v>
      </c>
      <c r="G24" s="34" t="s">
        <v>70</v>
      </c>
      <c r="H24" s="35" t="s">
        <v>69</v>
      </c>
    </row>
    <row r="25" spans="2:9" x14ac:dyDescent="0.25">
      <c r="E25" s="18"/>
      <c r="F25" s="18"/>
      <c r="G25" s="18"/>
      <c r="H25" s="18"/>
    </row>
    <row r="26" spans="2:9" ht="15.75" thickBot="1" x14ac:dyDescent="0.3"/>
    <row r="27" spans="2:9" ht="22.5" customHeight="1" x14ac:dyDescent="0.25">
      <c r="B27" s="84" t="s">
        <v>82</v>
      </c>
      <c r="D27" s="87" t="s">
        <v>36</v>
      </c>
      <c r="E27" s="88"/>
      <c r="F27" s="88"/>
      <c r="G27" s="88"/>
      <c r="H27" s="89"/>
    </row>
    <row r="28" spans="2:9" ht="22.5" customHeight="1" x14ac:dyDescent="0.25">
      <c r="B28" s="85"/>
      <c r="D28" s="90"/>
      <c r="E28" s="91"/>
      <c r="F28" s="91"/>
      <c r="G28" s="91"/>
      <c r="H28" s="92"/>
    </row>
    <row r="29" spans="2:9" ht="15.75" thickBot="1" x14ac:dyDescent="0.3">
      <c r="B29" s="85"/>
      <c r="D29" s="93"/>
      <c r="E29" s="94"/>
      <c r="F29" s="94"/>
      <c r="G29" s="94"/>
      <c r="H29" s="95"/>
    </row>
    <row r="30" spans="2:9" ht="29.25" customHeight="1" x14ac:dyDescent="0.25">
      <c r="B30" s="85"/>
      <c r="D30" s="96" t="s">
        <v>71</v>
      </c>
      <c r="E30" s="116"/>
      <c r="F30" s="116"/>
      <c r="G30" s="116"/>
      <c r="H30" s="117"/>
    </row>
    <row r="31" spans="2:9" ht="29.25" customHeight="1" thickBot="1" x14ac:dyDescent="0.3">
      <c r="B31" s="86"/>
      <c r="D31" s="118"/>
      <c r="E31" s="109"/>
      <c r="F31" s="109"/>
      <c r="G31" s="109"/>
      <c r="H31" s="119"/>
    </row>
    <row r="32" spans="2:9" x14ac:dyDescent="0.25">
      <c r="D32" s="1"/>
      <c r="E32" s="42"/>
      <c r="F32" s="42"/>
      <c r="G32" s="42"/>
      <c r="H32" s="42"/>
    </row>
    <row r="33" spans="2:16" ht="15.75" thickBot="1" x14ac:dyDescent="0.3">
      <c r="D33" s="1"/>
      <c r="E33" s="42"/>
      <c r="F33" s="42"/>
      <c r="G33" s="42"/>
      <c r="H33" s="42"/>
    </row>
    <row r="34" spans="2:16" ht="15.75" thickBot="1" x14ac:dyDescent="0.3">
      <c r="B34" s="84" t="s">
        <v>83</v>
      </c>
      <c r="D34" s="1"/>
      <c r="E34" s="135" t="s">
        <v>37</v>
      </c>
      <c r="F34" s="136"/>
      <c r="G34" s="137"/>
      <c r="H34" s="42"/>
      <c r="K34" s="185" t="s">
        <v>135</v>
      </c>
      <c r="L34" s="158"/>
      <c r="M34" s="107"/>
      <c r="N34" s="107"/>
      <c r="O34" s="159"/>
    </row>
    <row r="35" spans="2:16" ht="15.75" thickBot="1" x14ac:dyDescent="0.3">
      <c r="B35" s="85"/>
      <c r="K35" s="186"/>
      <c r="L35" s="160"/>
      <c r="M35" s="144"/>
      <c r="N35" s="144"/>
      <c r="O35" s="145"/>
    </row>
    <row r="36" spans="2:16" ht="15.75" thickBot="1" x14ac:dyDescent="0.3">
      <c r="B36" s="85"/>
      <c r="D36" s="41" t="s">
        <v>23</v>
      </c>
      <c r="E36" s="39" t="s">
        <v>28</v>
      </c>
      <c r="F36" s="39" t="s">
        <v>29</v>
      </c>
      <c r="G36" s="39" t="s">
        <v>30</v>
      </c>
      <c r="H36" s="41" t="s">
        <v>31</v>
      </c>
      <c r="K36" s="186"/>
      <c r="L36" s="160"/>
      <c r="M36" s="144"/>
      <c r="N36" s="144"/>
      <c r="O36" s="145"/>
    </row>
    <row r="37" spans="2:16" x14ac:dyDescent="0.25">
      <c r="B37" s="85"/>
      <c r="D37" s="14" t="s">
        <v>38</v>
      </c>
      <c r="E37" s="18">
        <v>14520</v>
      </c>
      <c r="F37" s="18">
        <v>14510</v>
      </c>
      <c r="G37" s="18">
        <v>14510</v>
      </c>
      <c r="H37" s="54">
        <f>AVERAGE(E37:G37)</f>
        <v>14513.333333333334</v>
      </c>
      <c r="K37" s="186"/>
      <c r="L37" s="160"/>
      <c r="M37" s="144"/>
      <c r="N37" s="144"/>
      <c r="O37" s="145"/>
    </row>
    <row r="38" spans="2:16" ht="15.75" thickBot="1" x14ac:dyDescent="0.3">
      <c r="B38" s="85"/>
      <c r="D38" s="15" t="s">
        <v>39</v>
      </c>
      <c r="E38" s="34">
        <v>3188</v>
      </c>
      <c r="F38" s="34">
        <v>3186</v>
      </c>
      <c r="G38" s="34">
        <v>3185</v>
      </c>
      <c r="H38" s="55">
        <f>AVERAGE(E38:G38)</f>
        <v>3186.3333333333335</v>
      </c>
      <c r="K38" s="186"/>
      <c r="L38" s="160"/>
      <c r="M38" s="144"/>
      <c r="N38" s="144"/>
      <c r="O38" s="145"/>
    </row>
    <row r="39" spans="2:16" ht="15.75" thickBot="1" x14ac:dyDescent="0.3">
      <c r="B39" s="85"/>
      <c r="K39" s="187"/>
      <c r="L39" s="161"/>
      <c r="M39" s="146"/>
      <c r="N39" s="146"/>
      <c r="O39" s="147"/>
    </row>
    <row r="40" spans="2:16" ht="35.25" customHeight="1" x14ac:dyDescent="0.25">
      <c r="B40" s="85"/>
      <c r="D40" s="138" t="s">
        <v>72</v>
      </c>
      <c r="E40" s="139"/>
      <c r="G40" s="120" t="s">
        <v>64</v>
      </c>
      <c r="H40" s="121"/>
      <c r="I40" s="122"/>
      <c r="K40" s="185" t="s">
        <v>136</v>
      </c>
      <c r="L40" s="158"/>
      <c r="M40" s="107"/>
      <c r="N40" s="107"/>
      <c r="O40" s="159"/>
    </row>
    <row r="41" spans="2:16" ht="35.25" customHeight="1" thickBot="1" x14ac:dyDescent="0.3">
      <c r="B41" s="85"/>
      <c r="D41" s="140" t="s">
        <v>73</v>
      </c>
      <c r="E41" s="141"/>
      <c r="G41" s="126" t="s">
        <v>65</v>
      </c>
      <c r="H41" s="127"/>
      <c r="I41" s="128"/>
      <c r="K41" s="186"/>
      <c r="L41" s="160"/>
      <c r="M41" s="144"/>
      <c r="N41" s="144"/>
      <c r="O41" s="145"/>
    </row>
    <row r="42" spans="2:16" ht="15.75" customHeight="1" thickBot="1" x14ac:dyDescent="0.3">
      <c r="B42" s="85"/>
      <c r="D42" s="56"/>
      <c r="E42" s="56"/>
      <c r="G42" s="57"/>
      <c r="H42" s="57"/>
      <c r="I42" s="57"/>
      <c r="K42" s="186"/>
      <c r="L42" s="160"/>
      <c r="M42" s="144"/>
      <c r="N42" s="144"/>
      <c r="O42" s="145"/>
    </row>
    <row r="43" spans="2:16" s="42" customFormat="1" ht="29.25" customHeight="1" thickBot="1" x14ac:dyDescent="0.3">
      <c r="B43" s="85"/>
      <c r="D43" s="129" t="s">
        <v>74</v>
      </c>
      <c r="E43" s="130"/>
      <c r="F43" s="130"/>
      <c r="G43" s="130"/>
      <c r="H43" s="130"/>
      <c r="I43" s="131"/>
      <c r="K43" s="187"/>
      <c r="L43" s="161"/>
      <c r="M43" s="146"/>
      <c r="N43" s="146"/>
      <c r="O43" s="147"/>
    </row>
    <row r="44" spans="2:16" s="42" customFormat="1" ht="29.25" customHeight="1" thickBot="1" x14ac:dyDescent="0.3">
      <c r="B44" s="85"/>
      <c r="D44" s="132"/>
      <c r="E44" s="133"/>
      <c r="F44" s="133"/>
      <c r="G44" s="133"/>
      <c r="H44" s="133"/>
      <c r="I44" s="134"/>
    </row>
    <row r="45" spans="2:16" ht="15.75" thickBot="1" x14ac:dyDescent="0.3">
      <c r="B45" s="85"/>
    </row>
    <row r="46" spans="2:16" ht="15.75" thickBot="1" x14ac:dyDescent="0.3">
      <c r="B46" s="86"/>
      <c r="D46" s="105" t="s">
        <v>76</v>
      </c>
      <c r="E46" s="106"/>
      <c r="G46" s="105" t="s">
        <v>75</v>
      </c>
      <c r="H46" s="106"/>
    </row>
    <row r="47" spans="2:16" ht="15.75" thickBot="1" x14ac:dyDescent="0.3">
      <c r="B47" s="71"/>
      <c r="D47" s="61"/>
      <c r="E47" s="61"/>
      <c r="G47" s="61"/>
      <c r="H47" s="61"/>
    </row>
    <row r="48" spans="2:16" ht="15.75" thickBot="1" x14ac:dyDescent="0.3">
      <c r="I48" s="158"/>
      <c r="J48" s="107"/>
      <c r="K48" s="107"/>
      <c r="L48" s="107"/>
      <c r="M48" s="107"/>
      <c r="N48" s="107"/>
      <c r="O48" s="107"/>
      <c r="P48" s="159"/>
    </row>
    <row r="49" spans="2:16" ht="15.75" thickBot="1" x14ac:dyDescent="0.3">
      <c r="B49" s="84" t="s">
        <v>84</v>
      </c>
      <c r="D49"/>
      <c r="E49" s="82" t="s">
        <v>44</v>
      </c>
      <c r="F49" s="83"/>
      <c r="I49" s="160"/>
      <c r="J49" s="144"/>
      <c r="K49" s="144"/>
      <c r="L49" s="144"/>
      <c r="M49" s="144"/>
      <c r="N49" s="144"/>
      <c r="O49" s="144"/>
      <c r="P49" s="145"/>
    </row>
    <row r="50" spans="2:16" ht="15.75" thickBot="1" x14ac:dyDescent="0.3">
      <c r="B50" s="85"/>
      <c r="D50"/>
      <c r="I50" s="160"/>
      <c r="J50" s="144"/>
      <c r="K50" s="144"/>
      <c r="L50" s="144"/>
      <c r="M50" s="144"/>
      <c r="N50" s="144"/>
      <c r="O50" s="144"/>
      <c r="P50" s="145"/>
    </row>
    <row r="51" spans="2:16" ht="15.75" thickBot="1" x14ac:dyDescent="0.3">
      <c r="B51" s="85"/>
      <c r="D51" s="38" t="s">
        <v>40</v>
      </c>
      <c r="E51" s="39" t="s">
        <v>41</v>
      </c>
      <c r="F51" s="39" t="s">
        <v>42</v>
      </c>
      <c r="G51" s="40" t="s">
        <v>43</v>
      </c>
      <c r="I51" s="160"/>
      <c r="J51" s="144"/>
      <c r="K51" s="144"/>
      <c r="L51" s="144"/>
      <c r="M51" s="144"/>
      <c r="N51" s="144"/>
      <c r="O51" s="144"/>
      <c r="P51" s="145"/>
    </row>
    <row r="52" spans="2:16" ht="15.75" thickBot="1" x14ac:dyDescent="0.3">
      <c r="B52" s="85"/>
      <c r="D52" s="33" t="s">
        <v>109</v>
      </c>
      <c r="E52" s="34" t="s">
        <v>110</v>
      </c>
      <c r="F52" s="34" t="s">
        <v>111</v>
      </c>
      <c r="G52" s="35" t="s">
        <v>112</v>
      </c>
      <c r="I52" s="160"/>
      <c r="J52" s="144"/>
      <c r="K52" s="144"/>
      <c r="L52" s="144"/>
      <c r="M52" s="144"/>
      <c r="N52" s="144"/>
      <c r="O52" s="144"/>
      <c r="P52" s="145"/>
    </row>
    <row r="53" spans="2:16" ht="15.75" thickBot="1" x14ac:dyDescent="0.3">
      <c r="B53" s="85"/>
      <c r="D53" s="18"/>
      <c r="E53" s="18"/>
      <c r="F53" s="18"/>
      <c r="G53" s="18"/>
      <c r="I53" s="160"/>
      <c r="J53" s="144"/>
      <c r="K53" s="144"/>
      <c r="L53" s="144"/>
      <c r="M53" s="144"/>
      <c r="N53" s="144"/>
      <c r="O53" s="144"/>
      <c r="P53" s="145"/>
    </row>
    <row r="54" spans="2:16" ht="15.75" thickBot="1" x14ac:dyDescent="0.3">
      <c r="B54" s="85"/>
      <c r="D54" s="18"/>
      <c r="E54" s="82" t="s">
        <v>45</v>
      </c>
      <c r="F54" s="83"/>
      <c r="G54" s="18"/>
      <c r="I54" s="160"/>
      <c r="J54" s="144"/>
      <c r="K54" s="144"/>
      <c r="L54" s="144"/>
      <c r="M54" s="144"/>
      <c r="N54" s="144"/>
      <c r="O54" s="144"/>
      <c r="P54" s="145"/>
    </row>
    <row r="55" spans="2:16" ht="15.75" thickBot="1" x14ac:dyDescent="0.3">
      <c r="B55" s="85"/>
      <c r="D55"/>
      <c r="H55" s="31"/>
      <c r="I55" s="160"/>
      <c r="J55" s="144"/>
      <c r="K55" s="144"/>
      <c r="L55" s="144"/>
      <c r="M55" s="144"/>
      <c r="N55" s="144"/>
      <c r="O55" s="144"/>
      <c r="P55" s="145"/>
    </row>
    <row r="56" spans="2:16" ht="15.75" thickBot="1" x14ac:dyDescent="0.3">
      <c r="B56" s="85"/>
      <c r="D56" s="38" t="s">
        <v>40</v>
      </c>
      <c r="E56" s="39" t="s">
        <v>41</v>
      </c>
      <c r="F56" s="39" t="s">
        <v>42</v>
      </c>
      <c r="G56" s="40" t="s">
        <v>43</v>
      </c>
      <c r="I56" s="160"/>
      <c r="J56" s="144"/>
      <c r="K56" s="144"/>
      <c r="L56" s="144"/>
      <c r="M56" s="144"/>
      <c r="N56" s="144"/>
      <c r="O56" s="144"/>
      <c r="P56" s="145"/>
    </row>
    <row r="57" spans="2:16" ht="15.75" thickBot="1" x14ac:dyDescent="0.3">
      <c r="B57" s="86"/>
      <c r="D57" s="33" t="s">
        <v>113</v>
      </c>
      <c r="E57" s="34" t="s">
        <v>110</v>
      </c>
      <c r="F57" s="34" t="s">
        <v>115</v>
      </c>
      <c r="G57" s="35" t="s">
        <v>114</v>
      </c>
      <c r="I57" s="160"/>
      <c r="J57" s="144"/>
      <c r="K57" s="144"/>
      <c r="L57" s="144"/>
      <c r="M57" s="144"/>
      <c r="N57" s="144"/>
      <c r="O57" s="144"/>
      <c r="P57" s="145"/>
    </row>
    <row r="58" spans="2:16" ht="15.75" thickBot="1" x14ac:dyDescent="0.3">
      <c r="I58" s="161"/>
      <c r="J58" s="146"/>
      <c r="K58" s="146"/>
      <c r="L58" s="146"/>
      <c r="M58" s="146"/>
      <c r="N58" s="146"/>
      <c r="O58" s="146"/>
      <c r="P58" s="147"/>
    </row>
    <row r="59" spans="2:16" ht="15.75" thickBot="1" x14ac:dyDescent="0.3"/>
    <row r="60" spans="2:16" ht="15.75" thickBot="1" x14ac:dyDescent="0.3">
      <c r="B60" s="84" t="s">
        <v>85</v>
      </c>
      <c r="E60" s="45" t="s">
        <v>26</v>
      </c>
      <c r="F60" s="53">
        <v>9850</v>
      </c>
      <c r="H60" s="45" t="s">
        <v>27</v>
      </c>
      <c r="I60" s="53">
        <v>4600</v>
      </c>
    </row>
    <row r="61" spans="2:16" ht="15.75" thickBot="1" x14ac:dyDescent="0.3">
      <c r="B61" s="85"/>
      <c r="D61" s="48"/>
    </row>
    <row r="62" spans="2:16" s="1" customFormat="1" ht="38.25" customHeight="1" thickBot="1" x14ac:dyDescent="0.3">
      <c r="B62" s="85"/>
      <c r="C62" s="62"/>
      <c r="D62" s="60"/>
      <c r="E62" s="125" t="s">
        <v>46</v>
      </c>
      <c r="F62" s="125"/>
      <c r="G62" s="88" t="s">
        <v>47</v>
      </c>
      <c r="H62" s="88"/>
      <c r="I62" s="88" t="s">
        <v>48</v>
      </c>
      <c r="J62" s="88"/>
      <c r="K62" s="63" t="s">
        <v>49</v>
      </c>
      <c r="L62" s="63" t="s">
        <v>50</v>
      </c>
      <c r="M62" s="69" t="s">
        <v>51</v>
      </c>
    </row>
    <row r="63" spans="2:16" x14ac:dyDescent="0.25">
      <c r="B63" s="85"/>
      <c r="D63" s="14">
        <v>1</v>
      </c>
      <c r="E63" s="123">
        <v>1.0029999999999999</v>
      </c>
      <c r="F63" s="116"/>
      <c r="G63" s="116">
        <v>0.68300000000000005</v>
      </c>
      <c r="H63" s="116"/>
      <c r="I63" s="107">
        <v>0.31900000000000001</v>
      </c>
      <c r="J63" s="107"/>
      <c r="K63" s="52">
        <f>I63/G63</f>
        <v>0.46705710102489018</v>
      </c>
      <c r="L63" s="64">
        <f>G63/$F$60</f>
        <v>6.9340101522842647E-5</v>
      </c>
      <c r="M63" s="66">
        <f>I63/$I$60</f>
        <v>6.9347826086956529E-5</v>
      </c>
    </row>
    <row r="64" spans="2:16" x14ac:dyDescent="0.25">
      <c r="B64" s="85"/>
      <c r="D64" s="14">
        <v>2</v>
      </c>
      <c r="E64" s="124">
        <v>2.0049999999999999</v>
      </c>
      <c r="F64" s="108"/>
      <c r="G64" s="108">
        <v>1.3660000000000001</v>
      </c>
      <c r="H64" s="108"/>
      <c r="I64" s="108">
        <v>0.63700000000000001</v>
      </c>
      <c r="J64" s="108"/>
      <c r="K64" s="61">
        <f t="shared" ref="K64:K65" si="0">I64/G64</f>
        <v>0.46632503660322105</v>
      </c>
      <c r="L64" s="65">
        <f t="shared" ref="L64:L65" si="1">G64/$F$60</f>
        <v>1.3868020304568529E-4</v>
      </c>
      <c r="M64" s="67">
        <f t="shared" ref="M64:M65" si="2">I64/$I$60</f>
        <v>1.3847826086956522E-4</v>
      </c>
    </row>
    <row r="65" spans="2:14" ht="15.75" thickBot="1" x14ac:dyDescent="0.3">
      <c r="B65" s="86"/>
      <c r="D65" s="15">
        <v>3</v>
      </c>
      <c r="E65" s="118">
        <v>3.0059999999999998</v>
      </c>
      <c r="F65" s="109"/>
      <c r="G65" s="109">
        <v>2.048</v>
      </c>
      <c r="H65" s="109"/>
      <c r="I65" s="109">
        <v>0.95599999999999996</v>
      </c>
      <c r="J65" s="109"/>
      <c r="K65" s="59">
        <f t="shared" si="0"/>
        <v>0.46679687499999994</v>
      </c>
      <c r="L65" s="70">
        <f t="shared" si="1"/>
        <v>2.0791878172588834E-4</v>
      </c>
      <c r="M65" s="68">
        <f t="shared" si="2"/>
        <v>2.0782608695652172E-4</v>
      </c>
    </row>
    <row r="67" spans="2:14" ht="15.75" thickBot="1" x14ac:dyDescent="0.3"/>
    <row r="68" spans="2:14" ht="15" customHeight="1" thickBot="1" x14ac:dyDescent="0.3">
      <c r="B68" s="84" t="s">
        <v>86</v>
      </c>
      <c r="D68" s="87" t="s">
        <v>53</v>
      </c>
      <c r="E68" s="88"/>
      <c r="F68" s="88"/>
      <c r="G68" s="88"/>
      <c r="H68" s="89"/>
    </row>
    <row r="69" spans="2:14" x14ac:dyDescent="0.25">
      <c r="B69" s="85"/>
      <c r="D69" s="90"/>
      <c r="E69" s="91"/>
      <c r="F69" s="91"/>
      <c r="G69" s="91"/>
      <c r="H69" s="92"/>
      <c r="J69" s="158"/>
      <c r="K69" s="107"/>
      <c r="L69" s="107"/>
      <c r="M69" s="107"/>
      <c r="N69" s="159"/>
    </row>
    <row r="70" spans="2:14" ht="15.75" thickBot="1" x14ac:dyDescent="0.3">
      <c r="B70" s="85"/>
      <c r="D70" s="93"/>
      <c r="E70" s="94"/>
      <c r="F70" s="94"/>
      <c r="G70" s="94"/>
      <c r="H70" s="95"/>
      <c r="J70" s="160"/>
      <c r="K70" s="144"/>
      <c r="L70" s="144"/>
      <c r="M70" s="144"/>
      <c r="N70" s="145"/>
    </row>
    <row r="71" spans="2:14" ht="18.75" customHeight="1" x14ac:dyDescent="0.25">
      <c r="B71" s="85"/>
      <c r="D71" s="96" t="s">
        <v>79</v>
      </c>
      <c r="E71" s="97"/>
      <c r="F71" s="97"/>
      <c r="G71" s="97"/>
      <c r="H71" s="98"/>
      <c r="J71" s="160"/>
      <c r="K71" s="144"/>
      <c r="L71" s="144"/>
      <c r="M71" s="144"/>
      <c r="N71" s="145"/>
    </row>
    <row r="72" spans="2:14" ht="18.75" customHeight="1" thickBot="1" x14ac:dyDescent="0.3">
      <c r="B72" s="86"/>
      <c r="D72" s="99"/>
      <c r="E72" s="100"/>
      <c r="F72" s="100"/>
      <c r="G72" s="100"/>
      <c r="H72" s="101"/>
      <c r="J72" s="160"/>
      <c r="K72" s="144"/>
      <c r="L72" s="144"/>
      <c r="M72" s="144"/>
      <c r="N72" s="145"/>
    </row>
    <row r="73" spans="2:14" x14ac:dyDescent="0.25">
      <c r="D73" s="28"/>
      <c r="E73" s="28"/>
      <c r="F73" s="28"/>
      <c r="G73" s="28"/>
      <c r="H73" s="28"/>
      <c r="J73" s="160"/>
      <c r="K73" s="144"/>
      <c r="L73" s="144"/>
      <c r="M73" s="144"/>
      <c r="N73" s="145"/>
    </row>
    <row r="74" spans="2:14" ht="15.75" thickBot="1" x14ac:dyDescent="0.3">
      <c r="D74"/>
      <c r="J74" s="160"/>
      <c r="K74" s="144"/>
      <c r="L74" s="144"/>
      <c r="M74" s="144"/>
      <c r="N74" s="145"/>
    </row>
    <row r="75" spans="2:14" ht="15" customHeight="1" x14ac:dyDescent="0.25">
      <c r="B75" s="84" t="s">
        <v>87</v>
      </c>
      <c r="D75" s="87" t="s">
        <v>52</v>
      </c>
      <c r="E75" s="88"/>
      <c r="F75" s="88"/>
      <c r="G75" s="88"/>
      <c r="H75" s="89"/>
      <c r="J75" s="160"/>
      <c r="K75" s="144"/>
      <c r="L75" s="144"/>
      <c r="M75" s="144"/>
      <c r="N75" s="145"/>
    </row>
    <row r="76" spans="2:14" x14ac:dyDescent="0.25">
      <c r="B76" s="85"/>
      <c r="D76" s="90"/>
      <c r="E76" s="91"/>
      <c r="F76" s="91"/>
      <c r="G76" s="91"/>
      <c r="H76" s="92"/>
      <c r="J76" s="160"/>
      <c r="K76" s="144"/>
      <c r="L76" s="144"/>
      <c r="M76" s="144"/>
      <c r="N76" s="145"/>
    </row>
    <row r="77" spans="2:14" x14ac:dyDescent="0.25">
      <c r="B77" s="85"/>
      <c r="D77" s="90"/>
      <c r="E77" s="91"/>
      <c r="F77" s="91"/>
      <c r="G77" s="91"/>
      <c r="H77" s="92"/>
      <c r="J77" s="160"/>
      <c r="K77" s="144"/>
      <c r="L77" s="144"/>
      <c r="M77" s="144"/>
      <c r="N77" s="145"/>
    </row>
    <row r="78" spans="2:14" ht="15.75" thickBot="1" x14ac:dyDescent="0.3">
      <c r="B78" s="85"/>
      <c r="D78" s="93"/>
      <c r="E78" s="94"/>
      <c r="F78" s="94"/>
      <c r="G78" s="94"/>
      <c r="H78" s="95"/>
      <c r="J78" s="160"/>
      <c r="K78" s="144"/>
      <c r="L78" s="144"/>
      <c r="M78" s="144"/>
      <c r="N78" s="145"/>
    </row>
    <row r="79" spans="2:14" ht="15" customHeight="1" x14ac:dyDescent="0.25">
      <c r="B79" s="85"/>
      <c r="D79" s="96" t="s">
        <v>88</v>
      </c>
      <c r="E79" s="97"/>
      <c r="F79" s="97"/>
      <c r="G79" s="97"/>
      <c r="H79" s="98"/>
      <c r="J79" s="160"/>
      <c r="K79" s="144"/>
      <c r="L79" s="144"/>
      <c r="M79" s="144"/>
      <c r="N79" s="145"/>
    </row>
    <row r="80" spans="2:14" x14ac:dyDescent="0.25">
      <c r="B80" s="85"/>
      <c r="D80" s="102"/>
      <c r="E80" s="103"/>
      <c r="F80" s="103"/>
      <c r="G80" s="103"/>
      <c r="H80" s="104"/>
      <c r="J80" s="160"/>
      <c r="K80" s="144"/>
      <c r="L80" s="144"/>
      <c r="M80" s="144"/>
      <c r="N80" s="145"/>
    </row>
    <row r="81" spans="2:14" ht="26.25" customHeight="1" x14ac:dyDescent="0.25">
      <c r="B81" s="85"/>
      <c r="D81" s="102"/>
      <c r="E81" s="103"/>
      <c r="F81" s="103"/>
      <c r="G81" s="103"/>
      <c r="H81" s="104"/>
      <c r="J81" s="160"/>
      <c r="K81" s="144"/>
      <c r="L81" s="144"/>
      <c r="M81" s="144"/>
      <c r="N81" s="145"/>
    </row>
    <row r="82" spans="2:14" ht="26.25" customHeight="1" thickBot="1" x14ac:dyDescent="0.3">
      <c r="B82" s="86"/>
      <c r="D82" s="99"/>
      <c r="E82" s="100"/>
      <c r="F82" s="100"/>
      <c r="G82" s="100"/>
      <c r="H82" s="101"/>
      <c r="J82" s="161"/>
      <c r="K82" s="146"/>
      <c r="L82" s="146"/>
      <c r="M82" s="146"/>
      <c r="N82" s="147"/>
    </row>
  </sheetData>
  <mergeCells count="50">
    <mergeCell ref="K40:K43"/>
    <mergeCell ref="K34:K39"/>
    <mergeCell ref="J69:N82"/>
    <mergeCell ref="L34:O39"/>
    <mergeCell ref="L40:O43"/>
    <mergeCell ref="I62:J62"/>
    <mergeCell ref="G41:I41"/>
    <mergeCell ref="D43:I44"/>
    <mergeCell ref="D46:E46"/>
    <mergeCell ref="G14:I14"/>
    <mergeCell ref="G15:I15"/>
    <mergeCell ref="E34:G34"/>
    <mergeCell ref="D40:E40"/>
    <mergeCell ref="D41:E41"/>
    <mergeCell ref="D14:E14"/>
    <mergeCell ref="D15:E15"/>
    <mergeCell ref="D27:H29"/>
    <mergeCell ref="I48:P58"/>
    <mergeCell ref="K2:O16"/>
    <mergeCell ref="G46:H46"/>
    <mergeCell ref="I63:J63"/>
    <mergeCell ref="I64:J64"/>
    <mergeCell ref="I65:J65"/>
    <mergeCell ref="D17:I18"/>
    <mergeCell ref="D20:E20"/>
    <mergeCell ref="G20:H20"/>
    <mergeCell ref="D30:H31"/>
    <mergeCell ref="G40:I40"/>
    <mergeCell ref="G63:H63"/>
    <mergeCell ref="G64:H64"/>
    <mergeCell ref="G65:H65"/>
    <mergeCell ref="E63:F63"/>
    <mergeCell ref="E64:F64"/>
    <mergeCell ref="E65:F65"/>
    <mergeCell ref="E62:F62"/>
    <mergeCell ref="B2:B7"/>
    <mergeCell ref="B10:B24"/>
    <mergeCell ref="B27:B31"/>
    <mergeCell ref="B34:B46"/>
    <mergeCell ref="B49:B57"/>
    <mergeCell ref="E49:F49"/>
    <mergeCell ref="B75:B82"/>
    <mergeCell ref="D68:H70"/>
    <mergeCell ref="D71:H72"/>
    <mergeCell ref="D75:H78"/>
    <mergeCell ref="D79:H82"/>
    <mergeCell ref="E54:F54"/>
    <mergeCell ref="B60:B65"/>
    <mergeCell ref="B68:B72"/>
    <mergeCell ref="G62:H62"/>
  </mergeCells>
  <phoneticPr fontId="1"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E790-5362-4DFB-BF43-D753F2B22793}">
  <sheetPr codeName="Hoja2"/>
  <dimension ref="B1:P124"/>
  <sheetViews>
    <sheetView zoomScaleNormal="100" workbookViewId="0">
      <selection activeCell="C11" sqref="C11"/>
    </sheetView>
  </sheetViews>
  <sheetFormatPr baseColWidth="10" defaultRowHeight="15" x14ac:dyDescent="0.25"/>
  <cols>
    <col min="1" max="3" width="6.7109375" customWidth="1"/>
    <col min="4" max="4" width="11.42578125" customWidth="1"/>
    <col min="5" max="5" width="13.7109375" customWidth="1"/>
    <col min="8" max="8" width="13.42578125" customWidth="1"/>
  </cols>
  <sheetData>
    <row r="1" spans="2:16" ht="15.75" thickBot="1" x14ac:dyDescent="0.3"/>
    <row r="2" spans="2:16" ht="15.75" customHeight="1" thickBot="1" x14ac:dyDescent="0.3">
      <c r="B2" s="165" t="s">
        <v>126</v>
      </c>
      <c r="D2" s="76" t="s">
        <v>26</v>
      </c>
      <c r="E2" s="183" t="s">
        <v>122</v>
      </c>
      <c r="F2" s="168"/>
      <c r="H2" s="76" t="s">
        <v>119</v>
      </c>
      <c r="I2" s="183" t="s">
        <v>124</v>
      </c>
      <c r="J2" s="168"/>
      <c r="L2" s="170" t="s">
        <v>130</v>
      </c>
      <c r="M2" s="173"/>
      <c r="N2" s="173"/>
      <c r="O2" s="173"/>
      <c r="P2" s="174"/>
    </row>
    <row r="3" spans="2:16" ht="15.75" thickBot="1" x14ac:dyDescent="0.3">
      <c r="B3" s="166"/>
      <c r="D3" s="45" t="s">
        <v>27</v>
      </c>
      <c r="E3" s="53" t="s">
        <v>123</v>
      </c>
      <c r="F3" s="169"/>
      <c r="H3" s="45" t="s">
        <v>120</v>
      </c>
      <c r="I3" s="53" t="s">
        <v>69</v>
      </c>
      <c r="J3" s="169"/>
      <c r="L3" s="171"/>
      <c r="M3" s="172"/>
      <c r="N3" s="172"/>
      <c r="O3" s="172"/>
      <c r="P3" s="175"/>
    </row>
    <row r="4" spans="2:16" ht="15.75" thickBot="1" x14ac:dyDescent="0.3">
      <c r="B4" s="167"/>
      <c r="D4" s="75" t="s">
        <v>118</v>
      </c>
      <c r="E4" s="184" t="s">
        <v>124</v>
      </c>
      <c r="F4" s="51"/>
      <c r="H4" s="75" t="s">
        <v>121</v>
      </c>
      <c r="I4" s="184" t="s">
        <v>125</v>
      </c>
      <c r="J4" s="51"/>
      <c r="L4" s="176"/>
      <c r="M4" s="177"/>
      <c r="N4" s="177"/>
      <c r="O4" s="177"/>
      <c r="P4" s="178"/>
    </row>
    <row r="6" spans="2:16" ht="15.75" thickBot="1" x14ac:dyDescent="0.3"/>
    <row r="7" spans="2:16" ht="21" customHeight="1" thickBot="1" x14ac:dyDescent="0.3">
      <c r="B7" s="165" t="s">
        <v>80</v>
      </c>
      <c r="J7" s="158"/>
      <c r="K7" s="107"/>
      <c r="L7" s="107"/>
      <c r="M7" s="107"/>
      <c r="N7" s="159"/>
    </row>
    <row r="8" spans="2:16" ht="15.75" thickBot="1" x14ac:dyDescent="0.3">
      <c r="B8" s="166"/>
      <c r="D8" s="73" t="s">
        <v>116</v>
      </c>
      <c r="E8" s="44" t="s">
        <v>127</v>
      </c>
      <c r="G8" s="73" t="s">
        <v>27</v>
      </c>
      <c r="H8" s="44" t="s">
        <v>140</v>
      </c>
      <c r="J8" s="160"/>
      <c r="K8" s="144"/>
      <c r="L8" s="144"/>
      <c r="M8" s="144"/>
      <c r="N8" s="145"/>
    </row>
    <row r="9" spans="2:16" ht="15.75" thickBot="1" x14ac:dyDescent="0.3">
      <c r="B9" s="166"/>
      <c r="D9" s="182" t="s">
        <v>117</v>
      </c>
      <c r="E9" s="60" t="s">
        <v>128</v>
      </c>
      <c r="G9" s="182" t="s">
        <v>55</v>
      </c>
      <c r="H9" s="60" t="s">
        <v>129</v>
      </c>
      <c r="J9" s="160"/>
      <c r="K9" s="144"/>
      <c r="L9" s="144"/>
      <c r="M9" s="144"/>
      <c r="N9" s="145"/>
    </row>
    <row r="10" spans="2:16" ht="21" customHeight="1" thickBot="1" x14ac:dyDescent="0.3">
      <c r="B10" s="167"/>
      <c r="J10" s="160"/>
      <c r="K10" s="144"/>
      <c r="L10" s="144"/>
      <c r="M10" s="144"/>
      <c r="N10" s="145"/>
    </row>
    <row r="11" spans="2:16" ht="15.75" customHeight="1" x14ac:dyDescent="0.25">
      <c r="B11" s="179"/>
      <c r="J11" s="160"/>
      <c r="K11" s="144"/>
      <c r="L11" s="144"/>
      <c r="M11" s="144"/>
      <c r="N11" s="145"/>
    </row>
    <row r="12" spans="2:16" ht="15.75" customHeight="1" thickBot="1" x14ac:dyDescent="0.3">
      <c r="B12" s="179"/>
      <c r="J12" s="160"/>
      <c r="K12" s="144"/>
      <c r="L12" s="144"/>
      <c r="M12" s="144"/>
      <c r="N12" s="145"/>
    </row>
    <row r="13" spans="2:16" ht="15.75" customHeight="1" thickBot="1" x14ac:dyDescent="0.3">
      <c r="B13" s="84" t="s">
        <v>81</v>
      </c>
      <c r="J13" s="160"/>
      <c r="K13" s="144"/>
      <c r="L13" s="144"/>
      <c r="M13" s="144"/>
      <c r="N13" s="145"/>
    </row>
    <row r="14" spans="2:16" ht="15.75" thickBot="1" x14ac:dyDescent="0.3">
      <c r="B14" s="85"/>
      <c r="D14" s="135" t="s">
        <v>54</v>
      </c>
      <c r="E14" s="137"/>
      <c r="F14" s="136" t="s">
        <v>55</v>
      </c>
      <c r="G14" s="137"/>
      <c r="J14" s="160"/>
      <c r="K14" s="144"/>
      <c r="L14" s="144"/>
      <c r="M14" s="144"/>
      <c r="N14" s="145"/>
    </row>
    <row r="15" spans="2:16" x14ac:dyDescent="0.25">
      <c r="B15" s="85"/>
      <c r="D15" s="124" t="s">
        <v>125</v>
      </c>
      <c r="E15" s="180"/>
      <c r="F15" s="108" t="s">
        <v>131</v>
      </c>
      <c r="G15" s="180"/>
      <c r="J15" s="160"/>
      <c r="K15" s="144"/>
      <c r="L15" s="144"/>
      <c r="M15" s="144"/>
      <c r="N15" s="145"/>
    </row>
    <row r="16" spans="2:16" x14ac:dyDescent="0.25">
      <c r="B16" s="85"/>
      <c r="D16" s="124" t="s">
        <v>132</v>
      </c>
      <c r="E16" s="180"/>
      <c r="F16" s="108" t="s">
        <v>133</v>
      </c>
      <c r="G16" s="180"/>
      <c r="J16" s="160"/>
      <c r="K16" s="144"/>
      <c r="L16" s="144"/>
      <c r="M16" s="144"/>
      <c r="N16" s="145"/>
    </row>
    <row r="17" spans="2:14" ht="15.75" thickBot="1" x14ac:dyDescent="0.3">
      <c r="B17" s="85"/>
      <c r="D17" s="118" t="s">
        <v>122</v>
      </c>
      <c r="E17" s="119"/>
      <c r="F17" s="109" t="s">
        <v>134</v>
      </c>
      <c r="G17" s="119"/>
      <c r="J17" s="160"/>
      <c r="K17" s="144"/>
      <c r="L17" s="144"/>
      <c r="M17" s="144"/>
      <c r="N17" s="145"/>
    </row>
    <row r="18" spans="2:14" ht="15.75" thickBot="1" x14ac:dyDescent="0.3">
      <c r="B18" s="86"/>
      <c r="J18" s="161"/>
      <c r="K18" s="146"/>
      <c r="L18" s="146"/>
      <c r="M18" s="146"/>
      <c r="N18" s="147"/>
    </row>
    <row r="20" spans="2:14" ht="15.75" thickBot="1" x14ac:dyDescent="0.3"/>
    <row r="21" spans="2:14" ht="15" customHeight="1" x14ac:dyDescent="0.25">
      <c r="B21" s="84" t="s">
        <v>108</v>
      </c>
      <c r="D21" s="87" t="s">
        <v>56</v>
      </c>
      <c r="E21" s="88"/>
      <c r="F21" s="88"/>
      <c r="G21" s="88"/>
      <c r="H21" s="88"/>
      <c r="I21" s="88"/>
      <c r="J21" s="89"/>
    </row>
    <row r="22" spans="2:14" x14ac:dyDescent="0.25">
      <c r="B22" s="85"/>
      <c r="D22" s="90"/>
      <c r="E22" s="91"/>
      <c r="F22" s="91"/>
      <c r="G22" s="91"/>
      <c r="H22" s="91"/>
      <c r="I22" s="91"/>
      <c r="J22" s="92"/>
    </row>
    <row r="23" spans="2:14" x14ac:dyDescent="0.25">
      <c r="B23" s="85"/>
      <c r="D23" s="90"/>
      <c r="E23" s="91"/>
      <c r="F23" s="91"/>
      <c r="G23" s="91"/>
      <c r="H23" s="91"/>
      <c r="I23" s="91"/>
      <c r="J23" s="92"/>
    </row>
    <row r="24" spans="2:14" x14ac:dyDescent="0.25">
      <c r="B24" s="85"/>
      <c r="D24" s="90"/>
      <c r="E24" s="91"/>
      <c r="F24" s="91"/>
      <c r="G24" s="91"/>
      <c r="H24" s="91"/>
      <c r="I24" s="91"/>
      <c r="J24" s="92"/>
    </row>
    <row r="25" spans="2:14" x14ac:dyDescent="0.25">
      <c r="B25" s="85"/>
      <c r="D25" s="90"/>
      <c r="E25" s="91"/>
      <c r="F25" s="91"/>
      <c r="G25" s="91"/>
      <c r="H25" s="91"/>
      <c r="I25" s="91"/>
      <c r="J25" s="92"/>
    </row>
    <row r="26" spans="2:14" ht="15.75" thickBot="1" x14ac:dyDescent="0.3">
      <c r="B26" s="85"/>
      <c r="D26" s="93"/>
      <c r="E26" s="94"/>
      <c r="F26" s="94"/>
      <c r="G26" s="94"/>
      <c r="H26" s="94"/>
      <c r="I26" s="94"/>
      <c r="J26" s="95"/>
    </row>
    <row r="27" spans="2:14" x14ac:dyDescent="0.25">
      <c r="B27" s="85"/>
      <c r="D27" s="96" t="s">
        <v>137</v>
      </c>
      <c r="E27" s="97"/>
      <c r="F27" s="97"/>
      <c r="G27" s="97"/>
      <c r="H27" s="97"/>
      <c r="I27" s="97"/>
      <c r="J27" s="98"/>
    </row>
    <row r="28" spans="2:14" x14ac:dyDescent="0.25">
      <c r="B28" s="85"/>
      <c r="D28" s="102"/>
      <c r="E28" s="103"/>
      <c r="F28" s="103"/>
      <c r="G28" s="103"/>
      <c r="H28" s="103"/>
      <c r="I28" s="103"/>
      <c r="J28" s="104"/>
    </row>
    <row r="29" spans="2:14" x14ac:dyDescent="0.25">
      <c r="B29" s="85"/>
      <c r="D29" s="102"/>
      <c r="E29" s="103"/>
      <c r="F29" s="103"/>
      <c r="G29" s="103"/>
      <c r="H29" s="103"/>
      <c r="I29" s="103"/>
      <c r="J29" s="104"/>
    </row>
    <row r="30" spans="2:14" x14ac:dyDescent="0.25">
      <c r="B30" s="85"/>
      <c r="D30" s="102"/>
      <c r="E30" s="103"/>
      <c r="F30" s="103"/>
      <c r="G30" s="103"/>
      <c r="H30" s="103"/>
      <c r="I30" s="103"/>
      <c r="J30" s="104"/>
    </row>
    <row r="31" spans="2:14" x14ac:dyDescent="0.25">
      <c r="B31" s="85"/>
      <c r="D31" s="102"/>
      <c r="E31" s="103"/>
      <c r="F31" s="103"/>
      <c r="G31" s="103"/>
      <c r="H31" s="103"/>
      <c r="I31" s="103"/>
      <c r="J31" s="104"/>
    </row>
    <row r="32" spans="2:14" ht="15.75" thickBot="1" x14ac:dyDescent="0.3">
      <c r="B32" s="86"/>
      <c r="D32" s="99"/>
      <c r="E32" s="100"/>
      <c r="F32" s="100"/>
      <c r="G32" s="100"/>
      <c r="H32" s="100"/>
      <c r="I32" s="100"/>
      <c r="J32" s="101"/>
    </row>
    <row r="34" spans="2:10" ht="15.75" thickBot="1" x14ac:dyDescent="0.3"/>
    <row r="35" spans="2:10" ht="15" customHeight="1" x14ac:dyDescent="0.25">
      <c r="B35" s="84" t="s">
        <v>83</v>
      </c>
      <c r="D35" s="87" t="s">
        <v>57</v>
      </c>
      <c r="E35" s="88"/>
      <c r="F35" s="88"/>
      <c r="G35" s="88"/>
      <c r="H35" s="88"/>
      <c r="I35" s="88"/>
      <c r="J35" s="89"/>
    </row>
    <row r="36" spans="2:10" ht="15" customHeight="1" x14ac:dyDescent="0.25">
      <c r="B36" s="85"/>
      <c r="D36" s="90"/>
      <c r="E36" s="91"/>
      <c r="F36" s="91"/>
      <c r="G36" s="91"/>
      <c r="H36" s="91"/>
      <c r="I36" s="91"/>
      <c r="J36" s="92"/>
    </row>
    <row r="37" spans="2:10" ht="15" customHeight="1" x14ac:dyDescent="0.25">
      <c r="B37" s="85"/>
      <c r="D37" s="90"/>
      <c r="E37" s="91"/>
      <c r="F37" s="91"/>
      <c r="G37" s="91"/>
      <c r="H37" s="91"/>
      <c r="I37" s="91"/>
      <c r="J37" s="92"/>
    </row>
    <row r="38" spans="2:10" ht="15" customHeight="1" x14ac:dyDescent="0.25">
      <c r="B38" s="85"/>
      <c r="D38" s="90"/>
      <c r="E38" s="91"/>
      <c r="F38" s="91"/>
      <c r="G38" s="91"/>
      <c r="H38" s="91"/>
      <c r="I38" s="91"/>
      <c r="J38" s="92"/>
    </row>
    <row r="39" spans="2:10" ht="15" customHeight="1" x14ac:dyDescent="0.25">
      <c r="B39" s="85"/>
      <c r="D39" s="90"/>
      <c r="E39" s="91"/>
      <c r="F39" s="91"/>
      <c r="G39" s="91"/>
      <c r="H39" s="91"/>
      <c r="I39" s="91"/>
      <c r="J39" s="92"/>
    </row>
    <row r="40" spans="2:10" x14ac:dyDescent="0.25">
      <c r="B40" s="85"/>
      <c r="D40" s="90"/>
      <c r="E40" s="91"/>
      <c r="F40" s="91"/>
      <c r="G40" s="91"/>
      <c r="H40" s="91"/>
      <c r="I40" s="91"/>
      <c r="J40" s="92"/>
    </row>
    <row r="41" spans="2:10" x14ac:dyDescent="0.25">
      <c r="B41" s="85"/>
      <c r="D41" s="90"/>
      <c r="E41" s="91"/>
      <c r="F41" s="91"/>
      <c r="G41" s="91"/>
      <c r="H41" s="91"/>
      <c r="I41" s="91"/>
      <c r="J41" s="92"/>
    </row>
    <row r="42" spans="2:10" ht="15.75" thickBot="1" x14ac:dyDescent="0.3">
      <c r="B42" s="85"/>
      <c r="D42" s="90"/>
      <c r="E42" s="91"/>
      <c r="F42" s="91"/>
      <c r="G42" s="91"/>
      <c r="H42" s="91"/>
      <c r="I42" s="91"/>
      <c r="J42" s="92"/>
    </row>
    <row r="43" spans="2:10" x14ac:dyDescent="0.25">
      <c r="B43" s="85"/>
      <c r="D43" s="96" t="s">
        <v>138</v>
      </c>
      <c r="E43" s="97"/>
      <c r="F43" s="97"/>
      <c r="G43" s="97"/>
      <c r="H43" s="97"/>
      <c r="I43" s="97"/>
      <c r="J43" s="98"/>
    </row>
    <row r="44" spans="2:10" x14ac:dyDescent="0.25">
      <c r="B44" s="85"/>
      <c r="D44" s="102"/>
      <c r="E44" s="103"/>
      <c r="F44" s="103"/>
      <c r="G44" s="103"/>
      <c r="H44" s="103"/>
      <c r="I44" s="103"/>
      <c r="J44" s="104"/>
    </row>
    <row r="45" spans="2:10" ht="15.75" thickBot="1" x14ac:dyDescent="0.3">
      <c r="B45" s="86"/>
      <c r="D45" s="99"/>
      <c r="E45" s="100"/>
      <c r="F45" s="100"/>
      <c r="G45" s="100"/>
      <c r="H45" s="100"/>
      <c r="I45" s="100"/>
      <c r="J45" s="101"/>
    </row>
    <row r="46" spans="2:10" x14ac:dyDescent="0.25">
      <c r="C46" s="28"/>
      <c r="D46" s="28"/>
      <c r="E46" s="28"/>
      <c r="F46" s="28"/>
      <c r="G46" s="28"/>
      <c r="H46" s="28"/>
      <c r="I46" s="28"/>
    </row>
    <row r="47" spans="2:10" ht="15.75" thickBot="1" x14ac:dyDescent="0.3">
      <c r="C47" s="28"/>
      <c r="D47" s="28"/>
      <c r="E47" s="28"/>
      <c r="F47" s="28"/>
      <c r="G47" s="28"/>
      <c r="H47" s="28"/>
      <c r="I47" s="28"/>
    </row>
    <row r="48" spans="2:10" ht="15" customHeight="1" x14ac:dyDescent="0.25">
      <c r="B48" s="84" t="s">
        <v>139</v>
      </c>
      <c r="C48" s="32"/>
      <c r="D48" s="213" t="s">
        <v>156</v>
      </c>
      <c r="E48" s="97"/>
      <c r="F48" s="97"/>
      <c r="G48" s="97"/>
      <c r="H48" s="97"/>
      <c r="I48" s="97"/>
      <c r="J48" s="98"/>
    </row>
    <row r="49" spans="2:10" x14ac:dyDescent="0.25">
      <c r="B49" s="85"/>
      <c r="C49" s="28"/>
      <c r="D49" s="214"/>
      <c r="E49" s="103"/>
      <c r="F49" s="103"/>
      <c r="G49" s="103"/>
      <c r="H49" s="103"/>
      <c r="I49" s="103"/>
      <c r="J49" s="104"/>
    </row>
    <row r="50" spans="2:10" x14ac:dyDescent="0.25">
      <c r="B50" s="85"/>
      <c r="C50" s="28"/>
      <c r="D50" s="214"/>
      <c r="E50" s="103"/>
      <c r="F50" s="103"/>
      <c r="G50" s="103"/>
      <c r="H50" s="103"/>
      <c r="I50" s="103"/>
      <c r="J50" s="104"/>
    </row>
    <row r="51" spans="2:10" x14ac:dyDescent="0.25">
      <c r="B51" s="85"/>
      <c r="C51" s="28"/>
      <c r="D51" s="214"/>
      <c r="E51" s="103"/>
      <c r="F51" s="103"/>
      <c r="G51" s="103"/>
      <c r="H51" s="103"/>
      <c r="I51" s="103"/>
      <c r="J51" s="104"/>
    </row>
    <row r="52" spans="2:10" x14ac:dyDescent="0.25">
      <c r="B52" s="85"/>
      <c r="C52" s="28"/>
      <c r="D52" s="214"/>
      <c r="E52" s="103"/>
      <c r="F52" s="103"/>
      <c r="G52" s="103"/>
      <c r="H52" s="103"/>
      <c r="I52" s="103"/>
      <c r="J52" s="104"/>
    </row>
    <row r="53" spans="2:10" x14ac:dyDescent="0.25">
      <c r="B53" s="85"/>
      <c r="C53" s="28"/>
      <c r="D53" s="214"/>
      <c r="E53" s="103"/>
      <c r="F53" s="103"/>
      <c r="G53" s="103"/>
      <c r="H53" s="103"/>
      <c r="I53" s="103"/>
      <c r="J53" s="104"/>
    </row>
    <row r="54" spans="2:10" x14ac:dyDescent="0.25">
      <c r="B54" s="85"/>
      <c r="C54" s="28"/>
      <c r="D54" s="214"/>
      <c r="E54" s="103"/>
      <c r="F54" s="103"/>
      <c r="G54" s="103"/>
      <c r="H54" s="103"/>
      <c r="I54" s="103"/>
      <c r="J54" s="104"/>
    </row>
    <row r="55" spans="2:10" x14ac:dyDescent="0.25">
      <c r="B55" s="85"/>
      <c r="D55" s="214"/>
      <c r="E55" s="103"/>
      <c r="F55" s="103"/>
      <c r="G55" s="103"/>
      <c r="H55" s="103"/>
      <c r="I55" s="103"/>
      <c r="J55" s="104"/>
    </row>
    <row r="56" spans="2:10" ht="15.75" thickBot="1" x14ac:dyDescent="0.3">
      <c r="B56" s="85"/>
      <c r="D56" s="215"/>
      <c r="E56" s="100"/>
      <c r="F56" s="100"/>
      <c r="G56" s="100"/>
      <c r="H56" s="100"/>
      <c r="I56" s="100"/>
      <c r="J56" s="101"/>
    </row>
    <row r="57" spans="2:10" ht="15.75" thickBot="1" x14ac:dyDescent="0.3">
      <c r="B57" s="85"/>
    </row>
    <row r="58" spans="2:10" x14ac:dyDescent="0.25">
      <c r="B58" s="85"/>
      <c r="D58" s="158"/>
      <c r="E58" s="107"/>
      <c r="F58" s="107"/>
      <c r="G58" s="107"/>
      <c r="H58" s="198" t="s">
        <v>142</v>
      </c>
      <c r="I58" s="199"/>
      <c r="J58" s="200"/>
    </row>
    <row r="59" spans="2:10" x14ac:dyDescent="0.25">
      <c r="B59" s="85"/>
      <c r="D59" s="160"/>
      <c r="E59" s="144"/>
      <c r="F59" s="144"/>
      <c r="G59" s="144"/>
      <c r="H59" s="201"/>
      <c r="I59" s="202"/>
      <c r="J59" s="203"/>
    </row>
    <row r="60" spans="2:10" x14ac:dyDescent="0.25">
      <c r="B60" s="85"/>
      <c r="D60" s="160"/>
      <c r="E60" s="144"/>
      <c r="F60" s="144"/>
      <c r="G60" s="144"/>
      <c r="H60" s="201"/>
      <c r="I60" s="202"/>
      <c r="J60" s="203"/>
    </row>
    <row r="61" spans="2:10" x14ac:dyDescent="0.25">
      <c r="B61" s="85"/>
      <c r="D61" s="160"/>
      <c r="E61" s="144"/>
      <c r="F61" s="144"/>
      <c r="G61" s="144"/>
      <c r="H61" s="201"/>
      <c r="I61" s="202"/>
      <c r="J61" s="203"/>
    </row>
    <row r="62" spans="2:10" x14ac:dyDescent="0.25">
      <c r="B62" s="85"/>
      <c r="D62" s="160"/>
      <c r="E62" s="144"/>
      <c r="F62" s="144"/>
      <c r="G62" s="144"/>
      <c r="H62" s="201"/>
      <c r="I62" s="202"/>
      <c r="J62" s="203"/>
    </row>
    <row r="63" spans="2:10" x14ac:dyDescent="0.25">
      <c r="B63" s="85"/>
      <c r="D63" s="160"/>
      <c r="E63" s="144"/>
      <c r="F63" s="144"/>
      <c r="G63" s="144"/>
      <c r="H63" s="201"/>
      <c r="I63" s="202"/>
      <c r="J63" s="203"/>
    </row>
    <row r="64" spans="2:10" x14ac:dyDescent="0.25">
      <c r="B64" s="85"/>
      <c r="D64" s="160"/>
      <c r="E64" s="144"/>
      <c r="F64" s="144"/>
      <c r="G64" s="144"/>
      <c r="H64" s="201"/>
      <c r="I64" s="202"/>
      <c r="J64" s="203"/>
    </row>
    <row r="65" spans="2:10" x14ac:dyDescent="0.25">
      <c r="B65" s="85"/>
      <c r="D65" s="160"/>
      <c r="E65" s="144"/>
      <c r="F65" s="144"/>
      <c r="G65" s="144"/>
      <c r="H65" s="201"/>
      <c r="I65" s="202"/>
      <c r="J65" s="203"/>
    </row>
    <row r="66" spans="2:10" x14ac:dyDescent="0.25">
      <c r="B66" s="85"/>
      <c r="D66" s="160"/>
      <c r="E66" s="144"/>
      <c r="F66" s="144"/>
      <c r="G66" s="144"/>
      <c r="H66" s="201"/>
      <c r="I66" s="202"/>
      <c r="J66" s="203"/>
    </row>
    <row r="67" spans="2:10" x14ac:dyDescent="0.25">
      <c r="B67" s="85"/>
      <c r="D67" s="160"/>
      <c r="E67" s="144"/>
      <c r="F67" s="144"/>
      <c r="G67" s="144"/>
      <c r="H67" s="201"/>
      <c r="I67" s="202"/>
      <c r="J67" s="203"/>
    </row>
    <row r="68" spans="2:10" x14ac:dyDescent="0.25">
      <c r="B68" s="85"/>
      <c r="D68" s="160"/>
      <c r="E68" s="144"/>
      <c r="F68" s="144"/>
      <c r="G68" s="144"/>
      <c r="H68" s="201"/>
      <c r="I68" s="202"/>
      <c r="J68" s="203"/>
    </row>
    <row r="69" spans="2:10" x14ac:dyDescent="0.25">
      <c r="B69" s="85"/>
      <c r="D69" s="160"/>
      <c r="E69" s="144"/>
      <c r="F69" s="144"/>
      <c r="G69" s="144"/>
      <c r="H69" s="201"/>
      <c r="I69" s="202"/>
      <c r="J69" s="203"/>
    </row>
    <row r="70" spans="2:10" ht="15.75" thickBot="1" x14ac:dyDescent="0.3">
      <c r="B70" s="85"/>
      <c r="D70" s="161"/>
      <c r="E70" s="146"/>
      <c r="F70" s="146"/>
      <c r="G70" s="146"/>
      <c r="H70" s="204"/>
      <c r="I70" s="205"/>
      <c r="J70" s="206"/>
    </row>
    <row r="71" spans="2:10" ht="15.75" thickBot="1" x14ac:dyDescent="0.3">
      <c r="B71" s="85"/>
    </row>
    <row r="72" spans="2:10" x14ac:dyDescent="0.25">
      <c r="B72" s="85"/>
      <c r="D72" s="158"/>
      <c r="E72" s="107"/>
      <c r="F72" s="107"/>
      <c r="G72" s="107"/>
      <c r="H72" s="198" t="s">
        <v>141</v>
      </c>
      <c r="I72" s="199"/>
      <c r="J72" s="200"/>
    </row>
    <row r="73" spans="2:10" x14ac:dyDescent="0.25">
      <c r="B73" s="85"/>
      <c r="D73" s="160"/>
      <c r="E73" s="144"/>
      <c r="F73" s="144"/>
      <c r="G73" s="144"/>
      <c r="H73" s="201"/>
      <c r="I73" s="202"/>
      <c r="J73" s="203"/>
    </row>
    <row r="74" spans="2:10" x14ac:dyDescent="0.25">
      <c r="B74" s="85"/>
      <c r="D74" s="160"/>
      <c r="E74" s="144"/>
      <c r="F74" s="144"/>
      <c r="G74" s="144"/>
      <c r="H74" s="201"/>
      <c r="I74" s="202"/>
      <c r="J74" s="203"/>
    </row>
    <row r="75" spans="2:10" x14ac:dyDescent="0.25">
      <c r="B75" s="85"/>
      <c r="D75" s="160"/>
      <c r="E75" s="144"/>
      <c r="F75" s="144"/>
      <c r="G75" s="144"/>
      <c r="H75" s="201"/>
      <c r="I75" s="202"/>
      <c r="J75" s="203"/>
    </row>
    <row r="76" spans="2:10" x14ac:dyDescent="0.25">
      <c r="B76" s="85"/>
      <c r="D76" s="160"/>
      <c r="E76" s="144"/>
      <c r="F76" s="144"/>
      <c r="G76" s="144"/>
      <c r="H76" s="201"/>
      <c r="I76" s="202"/>
      <c r="J76" s="203"/>
    </row>
    <row r="77" spans="2:10" x14ac:dyDescent="0.25">
      <c r="B77" s="85"/>
      <c r="D77" s="160"/>
      <c r="E77" s="144"/>
      <c r="F77" s="144"/>
      <c r="G77" s="144"/>
      <c r="H77" s="201"/>
      <c r="I77" s="202"/>
      <c r="J77" s="203"/>
    </row>
    <row r="78" spans="2:10" x14ac:dyDescent="0.25">
      <c r="B78" s="85"/>
      <c r="D78" s="160"/>
      <c r="E78" s="144"/>
      <c r="F78" s="144"/>
      <c r="G78" s="144"/>
      <c r="H78" s="201"/>
      <c r="I78" s="202"/>
      <c r="J78" s="203"/>
    </row>
    <row r="79" spans="2:10" x14ac:dyDescent="0.25">
      <c r="B79" s="85"/>
      <c r="D79" s="160"/>
      <c r="E79" s="144"/>
      <c r="F79" s="144"/>
      <c r="G79" s="144"/>
      <c r="H79" s="201"/>
      <c r="I79" s="202"/>
      <c r="J79" s="203"/>
    </row>
    <row r="80" spans="2:10" x14ac:dyDescent="0.25">
      <c r="B80" s="85"/>
      <c r="D80" s="160"/>
      <c r="E80" s="144"/>
      <c r="F80" s="144"/>
      <c r="G80" s="144"/>
      <c r="H80" s="201"/>
      <c r="I80" s="202"/>
      <c r="J80" s="203"/>
    </row>
    <row r="81" spans="2:10" x14ac:dyDescent="0.25">
      <c r="B81" s="85"/>
      <c r="D81" s="160"/>
      <c r="E81" s="144"/>
      <c r="F81" s="144"/>
      <c r="G81" s="144"/>
      <c r="H81" s="201"/>
      <c r="I81" s="202"/>
      <c r="J81" s="203"/>
    </row>
    <row r="82" spans="2:10" x14ac:dyDescent="0.25">
      <c r="B82" s="85"/>
      <c r="D82" s="160"/>
      <c r="E82" s="144"/>
      <c r="F82" s="144"/>
      <c r="G82" s="144"/>
      <c r="H82" s="201"/>
      <c r="I82" s="202"/>
      <c r="J82" s="203"/>
    </row>
    <row r="83" spans="2:10" x14ac:dyDescent="0.25">
      <c r="B83" s="85"/>
      <c r="D83" s="160"/>
      <c r="E83" s="144"/>
      <c r="F83" s="144"/>
      <c r="G83" s="144"/>
      <c r="H83" s="201"/>
      <c r="I83" s="202"/>
      <c r="J83" s="203"/>
    </row>
    <row r="84" spans="2:10" ht="15.75" thickBot="1" x14ac:dyDescent="0.3">
      <c r="B84" s="86"/>
      <c r="D84" s="161"/>
      <c r="E84" s="146"/>
      <c r="F84" s="146"/>
      <c r="G84" s="146"/>
      <c r="H84" s="204"/>
      <c r="I84" s="205"/>
      <c r="J84" s="206"/>
    </row>
    <row r="86" spans="2:10" ht="15.75" thickBot="1" x14ac:dyDescent="0.3"/>
    <row r="87" spans="2:10" ht="15" customHeight="1" x14ac:dyDescent="0.25">
      <c r="B87" s="84" t="s">
        <v>143</v>
      </c>
      <c r="D87" s="185" t="s">
        <v>144</v>
      </c>
      <c r="E87" s="158"/>
      <c r="F87" s="107"/>
      <c r="G87" s="107"/>
      <c r="H87" s="107"/>
      <c r="I87" s="159"/>
    </row>
    <row r="88" spans="2:10" x14ac:dyDescent="0.25">
      <c r="B88" s="85"/>
      <c r="D88" s="186"/>
      <c r="E88" s="160"/>
      <c r="F88" s="144"/>
      <c r="G88" s="144"/>
      <c r="H88" s="144"/>
      <c r="I88" s="145"/>
    </row>
    <row r="89" spans="2:10" x14ac:dyDescent="0.25">
      <c r="B89" s="85"/>
      <c r="D89" s="186"/>
      <c r="E89" s="160"/>
      <c r="F89" s="144"/>
      <c r="G89" s="144"/>
      <c r="H89" s="144"/>
      <c r="I89" s="145"/>
    </row>
    <row r="90" spans="2:10" x14ac:dyDescent="0.25">
      <c r="B90" s="85"/>
      <c r="D90" s="186"/>
      <c r="E90" s="160"/>
      <c r="F90" s="144"/>
      <c r="G90" s="144"/>
      <c r="H90" s="144"/>
      <c r="I90" s="145"/>
    </row>
    <row r="91" spans="2:10" x14ac:dyDescent="0.25">
      <c r="B91" s="85"/>
      <c r="D91" s="186"/>
      <c r="E91" s="160"/>
      <c r="F91" s="144"/>
      <c r="G91" s="144"/>
      <c r="H91" s="144"/>
      <c r="I91" s="145"/>
    </row>
    <row r="92" spans="2:10" x14ac:dyDescent="0.25">
      <c r="B92" s="85"/>
      <c r="D92" s="186"/>
      <c r="E92" s="160"/>
      <c r="F92" s="144"/>
      <c r="G92" s="144"/>
      <c r="H92" s="144"/>
      <c r="I92" s="145"/>
    </row>
    <row r="93" spans="2:10" x14ac:dyDescent="0.25">
      <c r="B93" s="85"/>
      <c r="D93" s="186"/>
      <c r="E93" s="160"/>
      <c r="F93" s="144"/>
      <c r="G93" s="144"/>
      <c r="H93" s="144"/>
      <c r="I93" s="145"/>
    </row>
    <row r="94" spans="2:10" x14ac:dyDescent="0.25">
      <c r="B94" s="85"/>
      <c r="D94" s="186"/>
      <c r="E94" s="160"/>
      <c r="F94" s="144"/>
      <c r="G94" s="144"/>
      <c r="H94" s="144"/>
      <c r="I94" s="145"/>
    </row>
    <row r="95" spans="2:10" x14ac:dyDescent="0.25">
      <c r="B95" s="85"/>
      <c r="D95" s="186"/>
      <c r="E95" s="160"/>
      <c r="F95" s="144"/>
      <c r="G95" s="144"/>
      <c r="H95" s="144"/>
      <c r="I95" s="145"/>
    </row>
    <row r="96" spans="2:10" ht="15.75" thickBot="1" x14ac:dyDescent="0.3">
      <c r="B96" s="85"/>
      <c r="D96" s="187"/>
      <c r="E96" s="161"/>
      <c r="F96" s="146"/>
      <c r="G96" s="146"/>
      <c r="H96" s="146"/>
      <c r="I96" s="147"/>
    </row>
    <row r="97" spans="2:9" x14ac:dyDescent="0.25">
      <c r="B97" s="85"/>
    </row>
    <row r="98" spans="2:9" ht="15.75" thickBot="1" x14ac:dyDescent="0.3">
      <c r="B98" s="85"/>
    </row>
    <row r="99" spans="2:9" ht="15.75" thickBot="1" x14ac:dyDescent="0.3">
      <c r="B99" s="85"/>
      <c r="D99" s="207" t="s">
        <v>26</v>
      </c>
      <c r="E99" s="163" t="s">
        <v>151</v>
      </c>
      <c r="G99" s="207" t="s">
        <v>148</v>
      </c>
      <c r="H99" s="163" t="s">
        <v>150</v>
      </c>
    </row>
    <row r="100" spans="2:9" ht="15.75" thickBot="1" x14ac:dyDescent="0.3">
      <c r="B100" s="85"/>
      <c r="D100" s="207" t="s">
        <v>27</v>
      </c>
      <c r="E100" s="163" t="s">
        <v>152</v>
      </c>
      <c r="G100" s="208" t="s">
        <v>149</v>
      </c>
      <c r="H100" s="8" t="s">
        <v>128</v>
      </c>
    </row>
    <row r="101" spans="2:9" ht="15.75" thickBot="1" x14ac:dyDescent="0.3">
      <c r="B101" s="85"/>
      <c r="D101" s="208" t="s">
        <v>118</v>
      </c>
      <c r="E101" s="8" t="s">
        <v>125</v>
      </c>
    </row>
    <row r="102" spans="2:9" x14ac:dyDescent="0.25">
      <c r="B102" s="85"/>
    </row>
    <row r="103" spans="2:9" ht="15.75" thickBot="1" x14ac:dyDescent="0.3">
      <c r="B103" s="85"/>
    </row>
    <row r="104" spans="2:9" ht="15.75" thickBot="1" x14ac:dyDescent="0.3">
      <c r="B104" s="85"/>
      <c r="D104" s="211" t="s">
        <v>145</v>
      </c>
      <c r="E104" s="12" t="s">
        <v>154</v>
      </c>
      <c r="G104" s="197" t="s">
        <v>155</v>
      </c>
      <c r="H104" s="189"/>
      <c r="I104" s="190"/>
    </row>
    <row r="105" spans="2:9" ht="15.75" thickBot="1" x14ac:dyDescent="0.3">
      <c r="B105" s="85"/>
      <c r="D105" s="207" t="s">
        <v>146</v>
      </c>
      <c r="E105" s="210" t="s">
        <v>153</v>
      </c>
      <c r="G105" s="191"/>
      <c r="H105" s="192"/>
      <c r="I105" s="193"/>
    </row>
    <row r="106" spans="2:9" ht="15.75" thickBot="1" x14ac:dyDescent="0.3">
      <c r="B106" s="86"/>
      <c r="D106" s="208" t="s">
        <v>147</v>
      </c>
      <c r="E106" s="37" t="s">
        <v>154</v>
      </c>
      <c r="G106" s="194"/>
      <c r="H106" s="195"/>
      <c r="I106" s="196"/>
    </row>
    <row r="107" spans="2:9" x14ac:dyDescent="0.25">
      <c r="B107" s="212"/>
    </row>
    <row r="108" spans="2:9" x14ac:dyDescent="0.25">
      <c r="B108" s="212"/>
    </row>
    <row r="109" spans="2:9" x14ac:dyDescent="0.25">
      <c r="B109" s="212"/>
    </row>
    <row r="110" spans="2:9" x14ac:dyDescent="0.25">
      <c r="B110" s="212"/>
    </row>
    <row r="111" spans="2:9" x14ac:dyDescent="0.25">
      <c r="B111" s="212"/>
    </row>
    <row r="112" spans="2:9" x14ac:dyDescent="0.25">
      <c r="B112" s="212"/>
    </row>
    <row r="113" spans="2:2" x14ac:dyDescent="0.25">
      <c r="B113" s="212"/>
    </row>
    <row r="114" spans="2:2" x14ac:dyDescent="0.25">
      <c r="B114" s="212"/>
    </row>
    <row r="115" spans="2:2" x14ac:dyDescent="0.25">
      <c r="B115" s="212"/>
    </row>
    <row r="116" spans="2:2" x14ac:dyDescent="0.25">
      <c r="B116" s="212"/>
    </row>
    <row r="117" spans="2:2" x14ac:dyDescent="0.25">
      <c r="B117" s="212"/>
    </row>
    <row r="118" spans="2:2" x14ac:dyDescent="0.25">
      <c r="B118" s="212"/>
    </row>
    <row r="119" spans="2:2" x14ac:dyDescent="0.25">
      <c r="B119" s="212"/>
    </row>
    <row r="120" spans="2:2" x14ac:dyDescent="0.25">
      <c r="B120" s="212"/>
    </row>
    <row r="121" spans="2:2" x14ac:dyDescent="0.25">
      <c r="B121" s="212"/>
    </row>
    <row r="122" spans="2:2" x14ac:dyDescent="0.25">
      <c r="B122" s="212"/>
    </row>
    <row r="123" spans="2:2" x14ac:dyDescent="0.25">
      <c r="B123" s="212"/>
    </row>
    <row r="124" spans="2:2" x14ac:dyDescent="0.25">
      <c r="B124" s="212"/>
    </row>
  </sheetData>
  <mergeCells count="30">
    <mergeCell ref="E87:I96"/>
    <mergeCell ref="D87:D96"/>
    <mergeCell ref="G104:I106"/>
    <mergeCell ref="B87:B106"/>
    <mergeCell ref="D72:G84"/>
    <mergeCell ref="H72:J84"/>
    <mergeCell ref="B48:B84"/>
    <mergeCell ref="E48:J56"/>
    <mergeCell ref="D48:D56"/>
    <mergeCell ref="B21:B32"/>
    <mergeCell ref="B35:B45"/>
    <mergeCell ref="D21:J26"/>
    <mergeCell ref="D27:J32"/>
    <mergeCell ref="D35:J42"/>
    <mergeCell ref="D43:J45"/>
    <mergeCell ref="J7:N18"/>
    <mergeCell ref="B2:B4"/>
    <mergeCell ref="B7:B10"/>
    <mergeCell ref="L2:P4"/>
    <mergeCell ref="B13:B18"/>
    <mergeCell ref="D14:E14"/>
    <mergeCell ref="D16:E16"/>
    <mergeCell ref="D17:E17"/>
    <mergeCell ref="F14:G14"/>
    <mergeCell ref="F15:G15"/>
    <mergeCell ref="F16:G16"/>
    <mergeCell ref="F17:G17"/>
    <mergeCell ref="D15:E15"/>
    <mergeCell ref="D58:G70"/>
    <mergeCell ref="H58:J70"/>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0EFA-1EDF-4E28-A5B8-0FE7269A1EA6}">
  <sheetPr codeName="Hoja3"/>
  <dimension ref="B1:N60"/>
  <sheetViews>
    <sheetView zoomScaleNormal="100" workbookViewId="0">
      <selection activeCell="C14" sqref="C14"/>
    </sheetView>
  </sheetViews>
  <sheetFormatPr baseColWidth="10" defaultRowHeight="15" x14ac:dyDescent="0.25"/>
  <cols>
    <col min="1" max="3" width="6.7109375" customWidth="1"/>
    <col min="4" max="4" width="11.42578125" style="72"/>
    <col min="6" max="6" width="14.5703125" customWidth="1"/>
    <col min="9" max="9" width="18.28515625" customWidth="1"/>
    <col min="10" max="10" width="27.28515625" customWidth="1"/>
    <col min="13" max="13" width="15" customWidth="1"/>
    <col min="14" max="14" width="19" customWidth="1"/>
    <col min="15" max="15" width="17.28515625" customWidth="1"/>
  </cols>
  <sheetData>
    <row r="1" spans="2:12" ht="15.75" thickBot="1" x14ac:dyDescent="0.3"/>
    <row r="2" spans="2:12" ht="15.75" customHeight="1" thickBot="1" x14ac:dyDescent="0.3">
      <c r="B2" s="84" t="s">
        <v>80</v>
      </c>
    </row>
    <row r="3" spans="2:12" s="1" customFormat="1" ht="15.75" thickBot="1" x14ac:dyDescent="0.3">
      <c r="B3" s="85"/>
      <c r="D3" s="72"/>
      <c r="E3" s="216" t="s">
        <v>104</v>
      </c>
      <c r="F3" s="69" t="s">
        <v>103</v>
      </c>
      <c r="I3" s="236" t="s">
        <v>158</v>
      </c>
      <c r="J3" s="237"/>
      <c r="K3" s="237"/>
      <c r="L3" s="238"/>
    </row>
    <row r="4" spans="2:12" ht="15.75" thickBot="1" x14ac:dyDescent="0.3">
      <c r="B4" s="85"/>
      <c r="D4" s="74" t="s">
        <v>23</v>
      </c>
      <c r="E4" s="53" t="s">
        <v>106</v>
      </c>
      <c r="F4" s="43" t="s">
        <v>107</v>
      </c>
      <c r="I4" s="239"/>
      <c r="J4" s="240"/>
      <c r="K4" s="240"/>
      <c r="L4" s="241"/>
    </row>
    <row r="5" spans="2:12" ht="15.75" thickBot="1" x14ac:dyDescent="0.3">
      <c r="B5" s="85"/>
      <c r="D5" s="75" t="s">
        <v>101</v>
      </c>
      <c r="E5" s="184" t="s">
        <v>105</v>
      </c>
      <c r="F5" s="60" t="s">
        <v>102</v>
      </c>
      <c r="I5" s="158"/>
      <c r="J5" s="107"/>
      <c r="K5" s="107"/>
      <c r="L5" s="159"/>
    </row>
    <row r="6" spans="2:12" ht="15.75" thickBot="1" x14ac:dyDescent="0.3">
      <c r="B6" s="86"/>
      <c r="D6" s="77"/>
      <c r="E6" s="61"/>
      <c r="F6" s="61"/>
      <c r="I6" s="160"/>
      <c r="J6" s="144"/>
      <c r="K6" s="144"/>
      <c r="L6" s="145"/>
    </row>
    <row r="7" spans="2:12" x14ac:dyDescent="0.25">
      <c r="B7" s="78"/>
      <c r="D7" s="77"/>
      <c r="E7" s="62"/>
      <c r="F7" s="62"/>
      <c r="I7" s="160"/>
      <c r="J7" s="144"/>
      <c r="K7" s="144"/>
      <c r="L7" s="145"/>
    </row>
    <row r="8" spans="2:12" ht="15.75" thickBot="1" x14ac:dyDescent="0.3">
      <c r="D8" s="77"/>
      <c r="E8" s="61"/>
      <c r="F8" s="61"/>
      <c r="I8" s="160"/>
      <c r="J8" s="144"/>
      <c r="K8" s="144"/>
      <c r="L8" s="145"/>
    </row>
    <row r="9" spans="2:12" ht="20.25" customHeight="1" x14ac:dyDescent="0.25">
      <c r="B9" s="84" t="s">
        <v>81</v>
      </c>
      <c r="D9" s="148"/>
      <c r="E9" s="149"/>
      <c r="F9" s="149"/>
      <c r="G9" s="150"/>
      <c r="I9" s="160"/>
      <c r="J9" s="144"/>
      <c r="K9" s="144"/>
      <c r="L9" s="145"/>
    </row>
    <row r="10" spans="2:12" ht="20.25" customHeight="1" thickBot="1" x14ac:dyDescent="0.3">
      <c r="B10" s="85"/>
      <c r="D10" s="151"/>
      <c r="E10" s="152"/>
      <c r="F10" s="152"/>
      <c r="G10" s="153"/>
      <c r="I10" s="160"/>
      <c r="J10" s="144"/>
      <c r="K10" s="144"/>
      <c r="L10" s="145"/>
    </row>
    <row r="11" spans="2:12" ht="15.75" thickBot="1" x14ac:dyDescent="0.3">
      <c r="B11" s="85"/>
      <c r="D11" s="77"/>
      <c r="E11" s="61"/>
      <c r="F11" s="61"/>
      <c r="I11" s="160"/>
      <c r="J11" s="144"/>
      <c r="K11" s="144"/>
      <c r="L11" s="145"/>
    </row>
    <row r="12" spans="2:12" ht="20.25" customHeight="1" x14ac:dyDescent="0.25">
      <c r="B12" s="85"/>
      <c r="D12" s="148"/>
      <c r="E12" s="149"/>
      <c r="F12" s="149"/>
      <c r="G12" s="150"/>
      <c r="I12" s="160"/>
      <c r="J12" s="144"/>
      <c r="K12" s="144"/>
      <c r="L12" s="145"/>
    </row>
    <row r="13" spans="2:12" ht="20.25" customHeight="1" thickBot="1" x14ac:dyDescent="0.3">
      <c r="B13" s="86"/>
      <c r="D13" s="151"/>
      <c r="E13" s="152"/>
      <c r="F13" s="152"/>
      <c r="G13" s="153"/>
      <c r="I13" s="161"/>
      <c r="J13" s="146"/>
      <c r="K13" s="146"/>
      <c r="L13" s="147"/>
    </row>
    <row r="15" spans="2:12" ht="15.75" thickBot="1" x14ac:dyDescent="0.3"/>
    <row r="16" spans="2:12" ht="15.75" thickBot="1" x14ac:dyDescent="0.3">
      <c r="B16" s="84" t="s">
        <v>108</v>
      </c>
      <c r="D16" s="74" t="s">
        <v>89</v>
      </c>
      <c r="E16" s="46" t="s">
        <v>90</v>
      </c>
      <c r="F16" s="46" t="s">
        <v>91</v>
      </c>
      <c r="G16" s="46" t="s">
        <v>92</v>
      </c>
      <c r="H16" s="46" t="s">
        <v>93</v>
      </c>
      <c r="I16" s="46" t="s">
        <v>94</v>
      </c>
      <c r="J16" s="47" t="s">
        <v>95</v>
      </c>
      <c r="L16" s="9"/>
    </row>
    <row r="17" spans="2:12" x14ac:dyDescent="0.25">
      <c r="B17" s="85"/>
      <c r="D17" s="254">
        <v>100</v>
      </c>
      <c r="E17" s="255">
        <v>100</v>
      </c>
      <c r="F17" s="255">
        <f>E17*2*PI()</f>
        <v>628.31853071795865</v>
      </c>
      <c r="G17" s="255">
        <v>10.3</v>
      </c>
      <c r="H17" s="255">
        <v>10.3</v>
      </c>
      <c r="I17" s="255">
        <f>G17/H17</f>
        <v>1</v>
      </c>
      <c r="J17" s="256">
        <f>20*LOG10(I17)</f>
        <v>0</v>
      </c>
      <c r="L17" s="9"/>
    </row>
    <row r="18" spans="2:12" x14ac:dyDescent="0.25">
      <c r="B18" s="85"/>
      <c r="D18" s="254">
        <v>200</v>
      </c>
      <c r="E18" s="255">
        <v>200</v>
      </c>
      <c r="F18" s="255">
        <f t="shared" ref="F18:F25" si="0">E18*2*PI()</f>
        <v>1256.6370614359173</v>
      </c>
      <c r="G18" s="255">
        <v>10.3</v>
      </c>
      <c r="H18" s="255">
        <v>10.3</v>
      </c>
      <c r="I18" s="255">
        <f t="shared" ref="I18:I36" si="1">G18/H18</f>
        <v>1</v>
      </c>
      <c r="J18" s="256">
        <f t="shared" ref="J18:J36" si="2">20*LOG10(I18)</f>
        <v>0</v>
      </c>
      <c r="L18" s="9"/>
    </row>
    <row r="19" spans="2:12" x14ac:dyDescent="0.25">
      <c r="B19" s="85"/>
      <c r="D19" s="254">
        <v>300</v>
      </c>
      <c r="E19" s="255">
        <v>300</v>
      </c>
      <c r="F19" s="255">
        <f t="shared" si="0"/>
        <v>1884.9555921538758</v>
      </c>
      <c r="G19" s="255">
        <v>10.3</v>
      </c>
      <c r="H19" s="255">
        <v>10.3</v>
      </c>
      <c r="I19" s="255">
        <f t="shared" si="1"/>
        <v>1</v>
      </c>
      <c r="J19" s="256">
        <f t="shared" si="2"/>
        <v>0</v>
      </c>
      <c r="L19" s="9"/>
    </row>
    <row r="20" spans="2:12" x14ac:dyDescent="0.25">
      <c r="B20" s="85"/>
      <c r="D20" s="254">
        <v>500</v>
      </c>
      <c r="E20" s="255">
        <v>500</v>
      </c>
      <c r="F20" s="255">
        <f t="shared" si="0"/>
        <v>3141.5926535897929</v>
      </c>
      <c r="G20" s="255">
        <v>10.3</v>
      </c>
      <c r="H20" s="255">
        <v>10.3</v>
      </c>
      <c r="I20" s="255">
        <f t="shared" si="1"/>
        <v>1</v>
      </c>
      <c r="J20" s="256">
        <f t="shared" si="2"/>
        <v>0</v>
      </c>
      <c r="L20" s="9"/>
    </row>
    <row r="21" spans="2:12" x14ac:dyDescent="0.25">
      <c r="B21" s="85"/>
      <c r="D21" s="254">
        <v>800</v>
      </c>
      <c r="E21" s="255">
        <v>800</v>
      </c>
      <c r="F21" s="255">
        <f t="shared" si="0"/>
        <v>5026.5482457436692</v>
      </c>
      <c r="G21" s="255">
        <v>10.3</v>
      </c>
      <c r="H21" s="255">
        <v>10.3</v>
      </c>
      <c r="I21" s="255">
        <f t="shared" si="1"/>
        <v>1</v>
      </c>
      <c r="J21" s="256">
        <f t="shared" si="2"/>
        <v>0</v>
      </c>
      <c r="L21" s="9"/>
    </row>
    <row r="22" spans="2:12" x14ac:dyDescent="0.25">
      <c r="B22" s="85"/>
      <c r="D22" s="254">
        <v>1000</v>
      </c>
      <c r="E22" s="255">
        <v>1000</v>
      </c>
      <c r="F22" s="255">
        <f t="shared" si="0"/>
        <v>6283.1853071795858</v>
      </c>
      <c r="G22" s="255">
        <v>10.3</v>
      </c>
      <c r="H22" s="255">
        <v>10.3</v>
      </c>
      <c r="I22" s="255">
        <f t="shared" si="1"/>
        <v>1</v>
      </c>
      <c r="J22" s="256">
        <f t="shared" si="2"/>
        <v>0</v>
      </c>
      <c r="L22" s="9"/>
    </row>
    <row r="23" spans="2:12" x14ac:dyDescent="0.25">
      <c r="B23" s="85"/>
      <c r="D23" s="254">
        <v>2000</v>
      </c>
      <c r="E23" s="255">
        <v>2000</v>
      </c>
      <c r="F23" s="255">
        <f t="shared" si="0"/>
        <v>12566.370614359172</v>
      </c>
      <c r="G23" s="255">
        <v>10.3</v>
      </c>
      <c r="H23" s="255">
        <v>10.3</v>
      </c>
      <c r="I23" s="255">
        <f t="shared" si="1"/>
        <v>1</v>
      </c>
      <c r="J23" s="256">
        <f t="shared" si="2"/>
        <v>0</v>
      </c>
      <c r="L23" s="9"/>
    </row>
    <row r="24" spans="2:12" x14ac:dyDescent="0.25">
      <c r="B24" s="85"/>
      <c r="D24" s="254">
        <v>5000</v>
      </c>
      <c r="E24" s="255">
        <v>5000</v>
      </c>
      <c r="F24" s="255">
        <f t="shared" si="0"/>
        <v>31415.926535897932</v>
      </c>
      <c r="G24" s="255">
        <v>10.3</v>
      </c>
      <c r="H24" s="255">
        <v>10.3</v>
      </c>
      <c r="I24" s="255">
        <f t="shared" si="1"/>
        <v>1</v>
      </c>
      <c r="J24" s="256">
        <f t="shared" si="2"/>
        <v>0</v>
      </c>
      <c r="L24" s="9"/>
    </row>
    <row r="25" spans="2:12" x14ac:dyDescent="0.25">
      <c r="B25" s="85"/>
      <c r="D25" s="254">
        <v>8000</v>
      </c>
      <c r="E25" s="255">
        <v>8000</v>
      </c>
      <c r="F25" s="255">
        <f t="shared" si="0"/>
        <v>50265.482457436687</v>
      </c>
      <c r="G25" s="255">
        <v>10.199999999999999</v>
      </c>
      <c r="H25" s="255">
        <v>10.3</v>
      </c>
      <c r="I25" s="255">
        <f t="shared" si="1"/>
        <v>0.99029126213592222</v>
      </c>
      <c r="J25" s="256">
        <f t="shared" si="2"/>
        <v>-8.4741058865093824E-2</v>
      </c>
      <c r="L25" s="9"/>
    </row>
    <row r="26" spans="2:12" x14ac:dyDescent="0.25">
      <c r="B26" s="85"/>
      <c r="D26" s="254">
        <v>10000</v>
      </c>
      <c r="E26" s="255">
        <v>10000</v>
      </c>
      <c r="F26" s="255">
        <f>E26*2*PI()</f>
        <v>62831.853071795864</v>
      </c>
      <c r="G26" s="255">
        <v>10.199999999999999</v>
      </c>
      <c r="H26" s="255">
        <v>10.3</v>
      </c>
      <c r="I26" s="255">
        <f t="shared" si="1"/>
        <v>0.99029126213592222</v>
      </c>
      <c r="J26" s="256">
        <f t="shared" si="2"/>
        <v>-8.4741058865093824E-2</v>
      </c>
      <c r="L26" s="9"/>
    </row>
    <row r="27" spans="2:12" x14ac:dyDescent="0.25">
      <c r="B27" s="85"/>
      <c r="D27" s="254">
        <v>20000</v>
      </c>
      <c r="E27" s="255">
        <f>D27</f>
        <v>20000</v>
      </c>
      <c r="F27" s="255">
        <f>E27*2*PI()</f>
        <v>125663.70614359173</v>
      </c>
      <c r="G27" s="255">
        <v>10</v>
      </c>
      <c r="H27" s="255">
        <v>10.3</v>
      </c>
      <c r="I27" s="255">
        <f t="shared" si="1"/>
        <v>0.97087378640776689</v>
      </c>
      <c r="J27" s="256">
        <f t="shared" si="2"/>
        <v>-0.25674449410344496</v>
      </c>
      <c r="L27" s="9"/>
    </row>
    <row r="28" spans="2:12" x14ac:dyDescent="0.25">
      <c r="B28" s="85"/>
      <c r="D28" s="254">
        <v>30000</v>
      </c>
      <c r="E28" s="255">
        <v>30000</v>
      </c>
      <c r="F28" s="255">
        <f t="shared" ref="F28:F36" si="3">E28*2*PI()</f>
        <v>188495.55921538759</v>
      </c>
      <c r="G28" s="255">
        <v>9.4</v>
      </c>
      <c r="H28" s="255">
        <v>10.199999999999999</v>
      </c>
      <c r="I28" s="255">
        <f t="shared" si="1"/>
        <v>0.92156862745098045</v>
      </c>
      <c r="J28" s="256">
        <f>20*LOG10(I28)</f>
        <v>-0.70944636324437749</v>
      </c>
      <c r="L28" s="9"/>
    </row>
    <row r="29" spans="2:12" ht="15.75" thickBot="1" x14ac:dyDescent="0.3">
      <c r="B29" s="85"/>
      <c r="D29" s="254">
        <v>50000</v>
      </c>
      <c r="E29" s="255">
        <f t="shared" ref="E29" si="4">D29</f>
        <v>50000</v>
      </c>
      <c r="F29" s="255">
        <f t="shared" si="3"/>
        <v>314159.26535897929</v>
      </c>
      <c r="G29" s="255">
        <v>8.4</v>
      </c>
      <c r="H29" s="255">
        <v>10.199999999999999</v>
      </c>
      <c r="I29" s="255">
        <f t="shared" si="1"/>
        <v>0.82352941176470595</v>
      </c>
      <c r="J29" s="256">
        <f t="shared" si="2"/>
        <v>-1.6864177140007173</v>
      </c>
      <c r="L29" s="9"/>
    </row>
    <row r="30" spans="2:12" ht="15.75" thickBot="1" x14ac:dyDescent="0.3">
      <c r="B30" s="85"/>
      <c r="D30" s="254">
        <v>80000</v>
      </c>
      <c r="E30" s="255">
        <v>80000</v>
      </c>
      <c r="F30" s="255">
        <f t="shared" si="3"/>
        <v>502654.82457436691</v>
      </c>
      <c r="G30" s="255">
        <v>7</v>
      </c>
      <c r="H30" s="255">
        <v>10</v>
      </c>
      <c r="I30" s="257">
        <f t="shared" si="1"/>
        <v>0.7</v>
      </c>
      <c r="J30" s="256">
        <f t="shared" si="2"/>
        <v>-3.0980391997148637</v>
      </c>
      <c r="L30" s="9"/>
    </row>
    <row r="31" spans="2:12" x14ac:dyDescent="0.25">
      <c r="B31" s="85"/>
      <c r="D31" s="254">
        <v>100000</v>
      </c>
      <c r="E31" s="255">
        <f>D31</f>
        <v>100000</v>
      </c>
      <c r="F31" s="255">
        <f t="shared" si="3"/>
        <v>628318.53071795858</v>
      </c>
      <c r="G31" s="255">
        <v>5.9</v>
      </c>
      <c r="H31" s="255">
        <v>10</v>
      </c>
      <c r="I31" s="255">
        <f t="shared" si="1"/>
        <v>0.59000000000000008</v>
      </c>
      <c r="J31" s="256">
        <f t="shared" si="2"/>
        <v>-4.5829597671571145</v>
      </c>
      <c r="L31" s="9"/>
    </row>
    <row r="32" spans="2:12" x14ac:dyDescent="0.25">
      <c r="B32" s="85"/>
      <c r="D32" s="254">
        <v>200000</v>
      </c>
      <c r="E32" s="255">
        <v>20000</v>
      </c>
      <c r="F32" s="255">
        <f t="shared" si="3"/>
        <v>125663.70614359173</v>
      </c>
      <c r="G32" s="255">
        <v>3.9</v>
      </c>
      <c r="H32" s="255">
        <v>10</v>
      </c>
      <c r="I32" s="255">
        <f t="shared" si="1"/>
        <v>0.39</v>
      </c>
      <c r="J32" s="256">
        <f t="shared" si="2"/>
        <v>-8.1787078594700162</v>
      </c>
      <c r="L32" s="9"/>
    </row>
    <row r="33" spans="2:14" x14ac:dyDescent="0.25">
      <c r="B33" s="85"/>
      <c r="D33" s="254">
        <v>300000</v>
      </c>
      <c r="E33" s="255">
        <v>300000</v>
      </c>
      <c r="F33" s="255">
        <f t="shared" si="3"/>
        <v>1884955.5921538759</v>
      </c>
      <c r="G33" s="255">
        <v>2.8</v>
      </c>
      <c r="H33" s="255">
        <v>9.5</v>
      </c>
      <c r="I33" s="255">
        <f t="shared" si="1"/>
        <v>0.29473684210526313</v>
      </c>
      <c r="J33" s="256">
        <f t="shared" si="2"/>
        <v>-10.611311478932572</v>
      </c>
      <c r="L33" s="9"/>
    </row>
    <row r="34" spans="2:14" x14ac:dyDescent="0.25">
      <c r="B34" s="85"/>
      <c r="D34" s="254">
        <v>500000</v>
      </c>
      <c r="E34" s="255">
        <v>500000</v>
      </c>
      <c r="F34" s="255">
        <f t="shared" si="3"/>
        <v>3141592.653589793</v>
      </c>
      <c r="G34" s="255">
        <v>1.9</v>
      </c>
      <c r="H34" s="255">
        <v>9.5</v>
      </c>
      <c r="I34" s="255">
        <f t="shared" si="1"/>
        <v>0.19999999999999998</v>
      </c>
      <c r="J34" s="256">
        <f t="shared" si="2"/>
        <v>-13.979400086720377</v>
      </c>
      <c r="L34" s="9"/>
    </row>
    <row r="35" spans="2:14" x14ac:dyDescent="0.25">
      <c r="B35" s="85"/>
      <c r="D35" s="254">
        <v>800000</v>
      </c>
      <c r="E35" s="255">
        <v>800000</v>
      </c>
      <c r="F35" s="255">
        <f t="shared" si="3"/>
        <v>5026548.2457436686</v>
      </c>
      <c r="G35" s="255">
        <v>1.3</v>
      </c>
      <c r="H35" s="255">
        <v>9.5</v>
      </c>
      <c r="I35" s="255">
        <f t="shared" si="1"/>
        <v>0.1368421052631579</v>
      </c>
      <c r="J35" s="256">
        <f t="shared" si="2"/>
        <v>-17.27560505964022</v>
      </c>
      <c r="L35" s="9"/>
    </row>
    <row r="36" spans="2:14" ht="15.75" thickBot="1" x14ac:dyDescent="0.3">
      <c r="B36" s="85"/>
      <c r="D36" s="258">
        <v>1000000</v>
      </c>
      <c r="E36" s="259">
        <f>D36</f>
        <v>1000000</v>
      </c>
      <c r="F36" s="260">
        <f t="shared" si="3"/>
        <v>6283185.307179586</v>
      </c>
      <c r="G36" s="260">
        <v>1</v>
      </c>
      <c r="H36" s="260">
        <v>9.5</v>
      </c>
      <c r="I36" s="260">
        <f t="shared" si="1"/>
        <v>0.10526315789473684</v>
      </c>
      <c r="J36" s="261">
        <f t="shared" si="2"/>
        <v>-19.554472105776956</v>
      </c>
      <c r="L36" s="9"/>
    </row>
    <row r="37" spans="2:14" ht="15.75" thickBot="1" x14ac:dyDescent="0.3">
      <c r="B37" s="85"/>
    </row>
    <row r="38" spans="2:14" x14ac:dyDescent="0.25">
      <c r="B38" s="85"/>
      <c r="D38" s="222"/>
      <c r="E38" s="223"/>
      <c r="F38" s="223"/>
      <c r="G38" s="223"/>
      <c r="H38" s="223"/>
      <c r="I38" s="223"/>
      <c r="J38" s="224"/>
    </row>
    <row r="39" spans="2:14" x14ac:dyDescent="0.25">
      <c r="B39" s="85"/>
      <c r="D39" s="225"/>
      <c r="E39" s="226"/>
      <c r="F39" s="226"/>
      <c r="G39" s="226"/>
      <c r="H39" s="226"/>
      <c r="I39" s="226"/>
      <c r="J39" s="227"/>
    </row>
    <row r="40" spans="2:14" x14ac:dyDescent="0.25">
      <c r="B40" s="85"/>
      <c r="D40" s="225"/>
      <c r="E40" s="226"/>
      <c r="F40" s="226"/>
      <c r="G40" s="226"/>
      <c r="H40" s="226"/>
      <c r="I40" s="226"/>
      <c r="J40" s="227"/>
    </row>
    <row r="41" spans="2:14" x14ac:dyDescent="0.25">
      <c r="B41" s="85"/>
      <c r="D41" s="225"/>
      <c r="E41" s="226"/>
      <c r="F41" s="226"/>
      <c r="G41" s="226"/>
      <c r="H41" s="226"/>
      <c r="I41" s="226"/>
      <c r="J41" s="227"/>
    </row>
    <row r="42" spans="2:14" x14ac:dyDescent="0.25">
      <c r="B42" s="85"/>
      <c r="D42" s="225"/>
      <c r="E42" s="226"/>
      <c r="F42" s="226"/>
      <c r="G42" s="226"/>
      <c r="H42" s="226"/>
      <c r="I42" s="226"/>
      <c r="J42" s="227"/>
    </row>
    <row r="43" spans="2:14" x14ac:dyDescent="0.25">
      <c r="B43" s="85"/>
      <c r="D43" s="225"/>
      <c r="E43" s="226"/>
      <c r="F43" s="226"/>
      <c r="G43" s="226"/>
      <c r="H43" s="226"/>
      <c r="I43" s="226"/>
      <c r="J43" s="227"/>
    </row>
    <row r="44" spans="2:14" ht="15.75" thickBot="1" x14ac:dyDescent="0.3">
      <c r="B44" s="85"/>
      <c r="D44" s="225"/>
      <c r="E44" s="226"/>
      <c r="F44" s="226"/>
      <c r="G44" s="226"/>
      <c r="H44" s="226"/>
      <c r="I44" s="226"/>
      <c r="J44" s="227"/>
    </row>
    <row r="45" spans="2:14" ht="15.75" thickBot="1" x14ac:dyDescent="0.3">
      <c r="B45" s="85"/>
      <c r="D45" s="225"/>
      <c r="E45" s="226"/>
      <c r="F45" s="226"/>
      <c r="G45" s="226"/>
      <c r="H45" s="226"/>
      <c r="I45" s="226"/>
      <c r="J45" s="227"/>
      <c r="L45" s="135" t="s">
        <v>157</v>
      </c>
      <c r="M45" s="136"/>
      <c r="N45" s="137"/>
    </row>
    <row r="46" spans="2:14" ht="15.75" thickBot="1" x14ac:dyDescent="0.3">
      <c r="B46" s="85"/>
      <c r="D46" s="225"/>
      <c r="E46" s="226"/>
      <c r="F46" s="226"/>
      <c r="G46" s="226"/>
      <c r="H46" s="226"/>
      <c r="I46" s="226"/>
      <c r="J46" s="227"/>
    </row>
    <row r="47" spans="2:14" ht="15.75" thickBot="1" x14ac:dyDescent="0.3">
      <c r="B47" s="85"/>
      <c r="D47" s="225"/>
      <c r="E47" s="226"/>
      <c r="F47" s="226"/>
      <c r="G47" s="226"/>
      <c r="H47" s="226"/>
      <c r="I47" s="226"/>
      <c r="J47" s="227"/>
      <c r="M47" s="217" t="s">
        <v>96</v>
      </c>
      <c r="N47" s="81" t="s">
        <v>97</v>
      </c>
    </row>
    <row r="48" spans="2:14" x14ac:dyDescent="0.25">
      <c r="B48" s="85"/>
      <c r="D48" s="225"/>
      <c r="E48" s="226"/>
      <c r="F48" s="226"/>
      <c r="G48" s="226"/>
      <c r="H48" s="226"/>
      <c r="I48" s="226"/>
      <c r="J48" s="227"/>
      <c r="L48" s="79" t="s">
        <v>98</v>
      </c>
      <c r="M48" s="218">
        <f>J36-J33</f>
        <v>-8.9431606268443833</v>
      </c>
      <c r="N48" s="12">
        <f>(J36-J33)</f>
        <v>-8.9431606268443833</v>
      </c>
    </row>
    <row r="49" spans="2:14" x14ac:dyDescent="0.25">
      <c r="B49" s="85"/>
      <c r="D49" s="225"/>
      <c r="E49" s="226"/>
      <c r="F49" s="226"/>
      <c r="G49" s="226"/>
      <c r="H49" s="226"/>
      <c r="I49" s="226"/>
      <c r="J49" s="227"/>
      <c r="L49" s="220" t="s">
        <v>99</v>
      </c>
      <c r="M49" s="219">
        <f>E36-E33</f>
        <v>700000</v>
      </c>
      <c r="N49" s="4">
        <f>LOG(E36/E33)</f>
        <v>0.52287874528033762</v>
      </c>
    </row>
    <row r="50" spans="2:14" ht="15.75" thickBot="1" x14ac:dyDescent="0.3">
      <c r="B50" s="85"/>
      <c r="D50" s="225"/>
      <c r="E50" s="226"/>
      <c r="F50" s="226"/>
      <c r="G50" s="226"/>
      <c r="H50" s="226"/>
      <c r="I50" s="226"/>
      <c r="J50" s="227"/>
      <c r="L50" s="181" t="s">
        <v>100</v>
      </c>
      <c r="M50" s="8">
        <f>M48/M49</f>
        <v>-1.2775943752634834E-5</v>
      </c>
      <c r="N50" s="7">
        <f>N48/N49</f>
        <v>-17.103698912162844</v>
      </c>
    </row>
    <row r="51" spans="2:14" x14ac:dyDescent="0.25">
      <c r="B51" s="85"/>
      <c r="D51" s="225"/>
      <c r="E51" s="226"/>
      <c r="F51" s="226"/>
      <c r="G51" s="226"/>
      <c r="H51" s="226"/>
      <c r="I51" s="226"/>
      <c r="J51" s="227"/>
    </row>
    <row r="52" spans="2:14" x14ac:dyDescent="0.25">
      <c r="B52" s="85"/>
      <c r="D52" s="225"/>
      <c r="E52" s="226"/>
      <c r="F52" s="226"/>
      <c r="G52" s="226"/>
      <c r="H52" s="226"/>
      <c r="I52" s="226"/>
      <c r="J52" s="227"/>
    </row>
    <row r="53" spans="2:14" x14ac:dyDescent="0.25">
      <c r="B53" s="85"/>
      <c r="D53" s="225"/>
      <c r="E53" s="226"/>
      <c r="F53" s="226"/>
      <c r="G53" s="226"/>
      <c r="H53" s="226"/>
      <c r="I53" s="226"/>
      <c r="J53" s="227"/>
    </row>
    <row r="54" spans="2:14" x14ac:dyDescent="0.25">
      <c r="B54" s="85"/>
      <c r="D54" s="225"/>
      <c r="E54" s="226"/>
      <c r="F54" s="226"/>
      <c r="G54" s="226"/>
      <c r="H54" s="226"/>
      <c r="I54" s="226"/>
      <c r="J54" s="227"/>
    </row>
    <row r="55" spans="2:14" x14ac:dyDescent="0.25">
      <c r="B55" s="85"/>
      <c r="D55" s="225"/>
      <c r="E55" s="226"/>
      <c r="F55" s="226"/>
      <c r="G55" s="226"/>
      <c r="H55" s="226"/>
      <c r="I55" s="226"/>
      <c r="J55" s="227"/>
    </row>
    <row r="56" spans="2:14" x14ac:dyDescent="0.25">
      <c r="B56" s="85"/>
      <c r="D56" s="225"/>
      <c r="E56" s="226"/>
      <c r="F56" s="226"/>
      <c r="G56" s="226"/>
      <c r="H56" s="226"/>
      <c r="I56" s="226"/>
      <c r="J56" s="227"/>
    </row>
    <row r="57" spans="2:14" x14ac:dyDescent="0.25">
      <c r="B57" s="85"/>
      <c r="D57" s="225"/>
      <c r="E57" s="226"/>
      <c r="F57" s="226"/>
      <c r="G57" s="226"/>
      <c r="H57" s="226"/>
      <c r="I57" s="226"/>
      <c r="J57" s="227"/>
    </row>
    <row r="58" spans="2:14" x14ac:dyDescent="0.25">
      <c r="B58" s="85"/>
      <c r="D58" s="225"/>
      <c r="E58" s="226"/>
      <c r="F58" s="226"/>
      <c r="G58" s="226"/>
      <c r="H58" s="226"/>
      <c r="I58" s="226"/>
      <c r="J58" s="227"/>
    </row>
    <row r="59" spans="2:14" x14ac:dyDescent="0.25">
      <c r="B59" s="85"/>
      <c r="D59" s="225"/>
      <c r="E59" s="226"/>
      <c r="F59" s="226"/>
      <c r="G59" s="226"/>
      <c r="H59" s="226"/>
      <c r="I59" s="226"/>
      <c r="J59" s="227"/>
    </row>
    <row r="60" spans="2:14" ht="15.75" thickBot="1" x14ac:dyDescent="0.3">
      <c r="B60" s="86"/>
      <c r="D60" s="228"/>
      <c r="E60" s="229"/>
      <c r="F60" s="229"/>
      <c r="G60" s="229"/>
      <c r="H60" s="229"/>
      <c r="I60" s="229"/>
      <c r="J60" s="230"/>
    </row>
  </sheetData>
  <mergeCells count="9">
    <mergeCell ref="L45:N45"/>
    <mergeCell ref="I3:L4"/>
    <mergeCell ref="I5:L13"/>
    <mergeCell ref="D9:G10"/>
    <mergeCell ref="D12:G13"/>
    <mergeCell ref="B9:B13"/>
    <mergeCell ref="B16:B60"/>
    <mergeCell ref="D38:J60"/>
    <mergeCell ref="B2:B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1DD2-388B-4BE2-9441-E07CC42846EF}">
  <sheetPr codeName="Hoja4"/>
  <dimension ref="B1:S92"/>
  <sheetViews>
    <sheetView zoomScaleNormal="100" workbookViewId="0">
      <selection activeCell="J69" sqref="J69"/>
    </sheetView>
  </sheetViews>
  <sheetFormatPr baseColWidth="10" defaultRowHeight="15" x14ac:dyDescent="0.25"/>
  <cols>
    <col min="1" max="3" width="6.7109375" customWidth="1"/>
    <col min="8" max="8" width="12.28515625" customWidth="1"/>
    <col min="9" max="9" width="13" customWidth="1"/>
    <col min="10" max="10" width="12.7109375" customWidth="1"/>
  </cols>
  <sheetData>
    <row r="1" spans="2:18" ht="15.75" thickBot="1" x14ac:dyDescent="0.3"/>
    <row r="2" spans="2:18" ht="21" customHeight="1" thickBot="1" x14ac:dyDescent="0.3">
      <c r="B2" s="165" t="s">
        <v>80</v>
      </c>
      <c r="L2" s="185" t="s">
        <v>159</v>
      </c>
      <c r="M2" s="123"/>
      <c r="N2" s="116"/>
      <c r="O2" s="117"/>
    </row>
    <row r="3" spans="2:18" s="1" customFormat="1" ht="15.75" customHeight="1" thickBot="1" x14ac:dyDescent="0.3">
      <c r="B3" s="166"/>
      <c r="D3" s="73" t="s">
        <v>5</v>
      </c>
      <c r="L3" s="186"/>
      <c r="M3" s="124"/>
      <c r="N3" s="108"/>
      <c r="O3" s="180"/>
    </row>
    <row r="4" spans="2:18" ht="15.75" thickBot="1" x14ac:dyDescent="0.3">
      <c r="B4" s="166"/>
      <c r="D4" s="8">
        <v>9925</v>
      </c>
      <c r="L4" s="186"/>
      <c r="M4" s="124"/>
      <c r="N4" s="108"/>
      <c r="O4" s="180"/>
    </row>
    <row r="5" spans="2:18" ht="21" customHeight="1" thickBot="1" x14ac:dyDescent="0.3">
      <c r="B5" s="167"/>
      <c r="D5" s="3"/>
      <c r="L5" s="186"/>
      <c r="M5" s="124"/>
      <c r="N5" s="108"/>
      <c r="O5" s="180"/>
    </row>
    <row r="6" spans="2:18" s="25" customFormat="1" ht="15.75" customHeight="1" x14ac:dyDescent="0.25">
      <c r="B6" s="179"/>
      <c r="D6" s="9"/>
      <c r="L6" s="186"/>
      <c r="M6" s="124"/>
      <c r="N6" s="108"/>
      <c r="O6" s="180"/>
    </row>
    <row r="7" spans="2:18" s="25" customFormat="1" ht="15.75" customHeight="1" thickBot="1" x14ac:dyDescent="0.3">
      <c r="B7" s="179"/>
      <c r="D7" s="9"/>
      <c r="L7" s="186"/>
      <c r="M7" s="124"/>
      <c r="N7" s="108"/>
      <c r="O7" s="180"/>
    </row>
    <row r="8" spans="2:18" s="25" customFormat="1" ht="15.75" customHeight="1" thickBot="1" x14ac:dyDescent="0.3">
      <c r="B8" s="84" t="s">
        <v>81</v>
      </c>
      <c r="L8" s="186"/>
      <c r="M8" s="124"/>
      <c r="N8" s="108"/>
      <c r="O8" s="180"/>
    </row>
    <row r="9" spans="2:18" s="25" customFormat="1" ht="15.75" customHeight="1" thickBot="1" x14ac:dyDescent="0.3">
      <c r="B9" s="85"/>
      <c r="D9" s="82" t="s">
        <v>12</v>
      </c>
      <c r="E9" s="154"/>
      <c r="F9" s="83"/>
      <c r="G9" s="41" t="s">
        <v>13</v>
      </c>
      <c r="H9" s="41" t="s">
        <v>14</v>
      </c>
      <c r="I9" s="82" t="s">
        <v>15</v>
      </c>
      <c r="J9" s="83"/>
      <c r="L9" s="186"/>
      <c r="M9" s="124"/>
      <c r="N9" s="108"/>
      <c r="O9" s="180"/>
    </row>
    <row r="10" spans="2:18" s="25" customFormat="1" ht="15.75" customHeight="1" thickBot="1" x14ac:dyDescent="0.3">
      <c r="B10" s="85"/>
      <c r="D10" s="155" t="s">
        <v>16</v>
      </c>
      <c r="E10" s="156"/>
      <c r="F10" s="157"/>
      <c r="G10" s="29">
        <v>3.9999999999999998E-20</v>
      </c>
      <c r="H10" s="30">
        <v>22.507999999999999</v>
      </c>
      <c r="I10" s="243">
        <f>(1.6*10^(-19)/(1.38*10^(-23)*19))</f>
        <v>610.2212051868803</v>
      </c>
      <c r="J10" s="242"/>
      <c r="L10" s="187"/>
      <c r="M10" s="118"/>
      <c r="N10" s="109"/>
      <c r="O10" s="119"/>
    </row>
    <row r="11" spans="2:18" s="25" customFormat="1" ht="15.75" customHeight="1" thickBot="1" x14ac:dyDescent="0.3">
      <c r="B11" s="85"/>
      <c r="D11" s="9"/>
    </row>
    <row r="12" spans="2:18" s="25" customFormat="1" ht="15" customHeight="1" x14ac:dyDescent="0.25">
      <c r="B12" s="85"/>
      <c r="D12" s="96" t="s">
        <v>20</v>
      </c>
      <c r="E12" s="97"/>
      <c r="F12" s="97"/>
      <c r="G12" s="97"/>
      <c r="H12" s="97"/>
      <c r="I12" s="97"/>
      <c r="J12" s="98"/>
      <c r="K12"/>
      <c r="L12" s="158"/>
      <c r="M12" s="107"/>
      <c r="N12" s="107"/>
      <c r="O12" s="107"/>
      <c r="P12" s="107"/>
      <c r="Q12" s="107"/>
      <c r="R12" s="159"/>
    </row>
    <row r="13" spans="2:18" s="25" customFormat="1" x14ac:dyDescent="0.25">
      <c r="B13" s="85"/>
      <c r="D13" s="102"/>
      <c r="E13" s="103"/>
      <c r="F13" s="103"/>
      <c r="G13" s="103"/>
      <c r="H13" s="103"/>
      <c r="I13" s="103"/>
      <c r="J13" s="104"/>
      <c r="K13"/>
      <c r="L13" s="160"/>
      <c r="M13" s="144"/>
      <c r="N13" s="144"/>
      <c r="O13" s="144"/>
      <c r="P13" s="144"/>
      <c r="Q13" s="144"/>
      <c r="R13" s="145"/>
    </row>
    <row r="14" spans="2:18" s="25" customFormat="1" x14ac:dyDescent="0.25">
      <c r="B14" s="85"/>
      <c r="D14" s="102"/>
      <c r="E14" s="103"/>
      <c r="F14" s="103"/>
      <c r="G14" s="103"/>
      <c r="H14" s="103"/>
      <c r="I14" s="103"/>
      <c r="J14" s="104"/>
      <c r="K14"/>
      <c r="L14" s="160"/>
      <c r="M14" s="144"/>
      <c r="N14" s="144"/>
      <c r="O14" s="144"/>
      <c r="P14" s="144"/>
      <c r="Q14" s="144"/>
      <c r="R14" s="145"/>
    </row>
    <row r="15" spans="2:18" s="25" customFormat="1" x14ac:dyDescent="0.25">
      <c r="B15" s="85"/>
      <c r="D15" s="102"/>
      <c r="E15" s="103"/>
      <c r="F15" s="103"/>
      <c r="G15" s="103"/>
      <c r="H15" s="103"/>
      <c r="I15" s="103"/>
      <c r="J15" s="104"/>
      <c r="K15"/>
      <c r="L15" s="160"/>
      <c r="M15" s="144"/>
      <c r="N15" s="144"/>
      <c r="O15" s="144"/>
      <c r="P15" s="144"/>
      <c r="Q15" s="144"/>
      <c r="R15" s="145"/>
    </row>
    <row r="16" spans="2:18" s="25" customFormat="1" x14ac:dyDescent="0.25">
      <c r="B16" s="85"/>
      <c r="D16" s="102"/>
      <c r="E16" s="103"/>
      <c r="F16" s="103"/>
      <c r="G16" s="103"/>
      <c r="H16" s="103"/>
      <c r="I16" s="103"/>
      <c r="J16" s="104"/>
      <c r="K16"/>
      <c r="L16" s="160"/>
      <c r="M16" s="144"/>
      <c r="N16" s="144"/>
      <c r="O16" s="144"/>
      <c r="P16" s="144"/>
      <c r="Q16" s="144"/>
      <c r="R16" s="145"/>
    </row>
    <row r="17" spans="2:19" s="25" customFormat="1" x14ac:dyDescent="0.25">
      <c r="B17" s="85"/>
      <c r="D17" s="102"/>
      <c r="E17" s="103"/>
      <c r="F17" s="103"/>
      <c r="G17" s="103"/>
      <c r="H17" s="103"/>
      <c r="I17" s="103"/>
      <c r="J17" s="104"/>
      <c r="K17"/>
      <c r="L17" s="160"/>
      <c r="M17" s="144"/>
      <c r="N17" s="144"/>
      <c r="O17" s="144"/>
      <c r="P17" s="144"/>
      <c r="Q17" s="144"/>
      <c r="R17" s="145"/>
    </row>
    <row r="18" spans="2:19" s="25" customFormat="1" x14ac:dyDescent="0.25">
      <c r="B18" s="85"/>
      <c r="D18" s="102"/>
      <c r="E18" s="103"/>
      <c r="F18" s="103"/>
      <c r="G18" s="103"/>
      <c r="H18" s="103"/>
      <c r="I18" s="103"/>
      <c r="J18" s="104"/>
      <c r="K18"/>
      <c r="L18" s="160"/>
      <c r="M18" s="144"/>
      <c r="N18" s="144"/>
      <c r="O18" s="144"/>
      <c r="P18" s="144"/>
      <c r="Q18" s="144"/>
      <c r="R18" s="145"/>
    </row>
    <row r="19" spans="2:19" s="25" customFormat="1" x14ac:dyDescent="0.25">
      <c r="B19" s="85"/>
      <c r="D19" s="102"/>
      <c r="E19" s="103"/>
      <c r="F19" s="103"/>
      <c r="G19" s="103"/>
      <c r="H19" s="103"/>
      <c r="I19" s="103"/>
      <c r="J19" s="104"/>
      <c r="K19"/>
      <c r="L19" s="160"/>
      <c r="M19" s="144"/>
      <c r="N19" s="144"/>
      <c r="O19" s="144"/>
      <c r="P19" s="144"/>
      <c r="Q19" s="144"/>
      <c r="R19" s="145"/>
    </row>
    <row r="20" spans="2:19" s="25" customFormat="1" x14ac:dyDescent="0.25">
      <c r="B20" s="85"/>
      <c r="D20" s="102"/>
      <c r="E20" s="103"/>
      <c r="F20" s="103"/>
      <c r="G20" s="103"/>
      <c r="H20" s="103"/>
      <c r="I20" s="103"/>
      <c r="J20" s="104"/>
      <c r="K20"/>
      <c r="L20" s="160"/>
      <c r="M20" s="144"/>
      <c r="N20" s="144"/>
      <c r="O20" s="144"/>
      <c r="P20" s="144"/>
      <c r="Q20" s="144"/>
      <c r="R20" s="145"/>
    </row>
    <row r="21" spans="2:19" s="25" customFormat="1" x14ac:dyDescent="0.25">
      <c r="B21" s="85"/>
      <c r="D21" s="102"/>
      <c r="E21" s="103"/>
      <c r="F21" s="103"/>
      <c r="G21" s="103"/>
      <c r="H21" s="103"/>
      <c r="I21" s="103"/>
      <c r="J21" s="104"/>
      <c r="K21"/>
      <c r="L21" s="160"/>
      <c r="M21" s="144"/>
      <c r="N21" s="144"/>
      <c r="O21" s="144"/>
      <c r="P21" s="144"/>
      <c r="Q21" s="144"/>
      <c r="R21" s="145"/>
    </row>
    <row r="22" spans="2:19" s="25" customFormat="1" x14ac:dyDescent="0.25">
      <c r="B22" s="85"/>
      <c r="D22" s="102"/>
      <c r="E22" s="103"/>
      <c r="F22" s="103"/>
      <c r="G22" s="103"/>
      <c r="H22" s="103"/>
      <c r="I22" s="103"/>
      <c r="J22" s="104"/>
      <c r="K22"/>
      <c r="L22" s="160"/>
      <c r="M22" s="144"/>
      <c r="N22" s="144"/>
      <c r="O22" s="144"/>
      <c r="P22" s="144"/>
      <c r="Q22" s="144"/>
      <c r="R22" s="145"/>
    </row>
    <row r="23" spans="2:19" s="25" customFormat="1" x14ac:dyDescent="0.25">
      <c r="B23" s="85"/>
      <c r="D23" s="102"/>
      <c r="E23" s="103"/>
      <c r="F23" s="103"/>
      <c r="G23" s="103"/>
      <c r="H23" s="103"/>
      <c r="I23" s="103"/>
      <c r="J23" s="104"/>
      <c r="K23"/>
      <c r="L23" s="160"/>
      <c r="M23" s="144"/>
      <c r="N23" s="144"/>
      <c r="O23" s="144"/>
      <c r="P23" s="144"/>
      <c r="Q23" s="144"/>
      <c r="R23" s="145"/>
    </row>
    <row r="24" spans="2:19" s="25" customFormat="1" x14ac:dyDescent="0.25">
      <c r="B24" s="85"/>
      <c r="D24" s="102"/>
      <c r="E24" s="103"/>
      <c r="F24" s="103"/>
      <c r="G24" s="103"/>
      <c r="H24" s="103"/>
      <c r="I24" s="103"/>
      <c r="J24" s="104"/>
      <c r="K24"/>
      <c r="L24" s="160"/>
      <c r="M24" s="144"/>
      <c r="N24" s="144"/>
      <c r="O24" s="144"/>
      <c r="P24" s="144"/>
      <c r="Q24" s="144"/>
      <c r="R24" s="145"/>
    </row>
    <row r="25" spans="2:19" s="25" customFormat="1" x14ac:dyDescent="0.25">
      <c r="B25" s="85"/>
      <c r="D25" s="102"/>
      <c r="E25" s="103"/>
      <c r="F25" s="103"/>
      <c r="G25" s="103"/>
      <c r="H25" s="103"/>
      <c r="I25" s="103"/>
      <c r="J25" s="104"/>
      <c r="K25"/>
      <c r="L25" s="160"/>
      <c r="M25" s="144"/>
      <c r="N25" s="144"/>
      <c r="O25" s="144"/>
      <c r="P25" s="144"/>
      <c r="Q25" s="144"/>
      <c r="R25" s="145"/>
    </row>
    <row r="26" spans="2:19" s="25" customFormat="1" x14ac:dyDescent="0.25">
      <c r="B26" s="85"/>
      <c r="D26" s="102"/>
      <c r="E26" s="103"/>
      <c r="F26" s="103"/>
      <c r="G26" s="103"/>
      <c r="H26" s="103"/>
      <c r="I26" s="103"/>
      <c r="J26" s="104"/>
      <c r="K26"/>
      <c r="L26" s="160"/>
      <c r="M26" s="144"/>
      <c r="N26" s="144"/>
      <c r="O26" s="144"/>
      <c r="P26" s="144"/>
      <c r="Q26" s="144"/>
      <c r="R26" s="145"/>
    </row>
    <row r="27" spans="2:19" s="25" customFormat="1" x14ac:dyDescent="0.25">
      <c r="B27" s="85"/>
      <c r="D27" s="102"/>
      <c r="E27" s="103"/>
      <c r="F27" s="103"/>
      <c r="G27" s="103"/>
      <c r="H27" s="103"/>
      <c r="I27" s="103"/>
      <c r="J27" s="104"/>
      <c r="K27"/>
      <c r="L27" s="160"/>
      <c r="M27" s="144"/>
      <c r="N27" s="144"/>
      <c r="O27" s="144"/>
      <c r="P27" s="144"/>
      <c r="Q27" s="144"/>
      <c r="R27" s="145"/>
    </row>
    <row r="28" spans="2:19" s="25" customFormat="1" x14ac:dyDescent="0.25">
      <c r="B28" s="85"/>
      <c r="D28" s="102"/>
      <c r="E28" s="103"/>
      <c r="F28" s="103"/>
      <c r="G28" s="103"/>
      <c r="H28" s="103"/>
      <c r="I28" s="103"/>
      <c r="J28" s="104"/>
      <c r="K28"/>
      <c r="L28" s="160"/>
      <c r="M28" s="144"/>
      <c r="N28" s="144"/>
      <c r="O28" s="144"/>
      <c r="P28" s="144"/>
      <c r="Q28" s="144"/>
      <c r="R28" s="145"/>
    </row>
    <row r="29" spans="2:19" s="25" customFormat="1" x14ac:dyDescent="0.25">
      <c r="B29" s="85"/>
      <c r="D29" s="102"/>
      <c r="E29" s="103"/>
      <c r="F29" s="103"/>
      <c r="G29" s="103"/>
      <c r="H29" s="103"/>
      <c r="I29" s="103"/>
      <c r="J29" s="104"/>
      <c r="K29"/>
      <c r="L29" s="160"/>
      <c r="M29" s="144"/>
      <c r="N29" s="144"/>
      <c r="O29" s="144"/>
      <c r="P29" s="144"/>
      <c r="Q29" s="144"/>
      <c r="R29" s="145"/>
    </row>
    <row r="30" spans="2:19" s="25" customFormat="1" x14ac:dyDescent="0.25">
      <c r="B30" s="85"/>
      <c r="D30" s="102"/>
      <c r="E30" s="103"/>
      <c r="F30" s="103"/>
      <c r="G30" s="103"/>
      <c r="H30" s="103"/>
      <c r="I30" s="103"/>
      <c r="J30" s="104"/>
      <c r="K30" s="3"/>
      <c r="L30" s="160"/>
      <c r="M30" s="144"/>
      <c r="N30" s="144"/>
      <c r="O30" s="144"/>
      <c r="P30" s="144"/>
      <c r="Q30" s="144"/>
      <c r="R30" s="145"/>
    </row>
    <row r="31" spans="2:19" s="25" customFormat="1" ht="15.75" thickBot="1" x14ac:dyDescent="0.3">
      <c r="B31" s="86"/>
      <c r="D31" s="99"/>
      <c r="E31" s="100"/>
      <c r="F31" s="100"/>
      <c r="G31" s="100"/>
      <c r="H31" s="100"/>
      <c r="I31" s="100"/>
      <c r="J31" s="101"/>
      <c r="K31" s="3"/>
      <c r="L31" s="161"/>
      <c r="M31" s="146"/>
      <c r="N31" s="146"/>
      <c r="O31" s="146"/>
      <c r="P31" s="146"/>
      <c r="Q31" s="146"/>
      <c r="R31" s="147"/>
    </row>
    <row r="32" spans="2:19" s="25" customFormat="1" x14ac:dyDescent="0.25">
      <c r="B32" s="244"/>
      <c r="D32" s="32"/>
      <c r="E32" s="32"/>
      <c r="F32" s="32"/>
      <c r="G32" s="32"/>
      <c r="H32" s="32"/>
      <c r="I32" s="32"/>
      <c r="J32" s="32"/>
      <c r="K32" s="3"/>
      <c r="L32" s="48"/>
      <c r="M32" s="48"/>
      <c r="N32" s="48"/>
      <c r="O32" s="48"/>
      <c r="P32" s="48"/>
      <c r="Q32" s="48"/>
      <c r="R32" s="48"/>
      <c r="S32" s="9"/>
    </row>
    <row r="33" spans="2:19" ht="15.75" thickBot="1" x14ac:dyDescent="0.3">
      <c r="K33" s="3"/>
      <c r="L33" s="48"/>
      <c r="M33" s="48"/>
      <c r="N33" s="48"/>
      <c r="O33" s="48"/>
      <c r="P33" s="48"/>
      <c r="Q33" s="48"/>
      <c r="R33" s="48"/>
      <c r="S33" s="3"/>
    </row>
    <row r="34" spans="2:19" ht="15.75" customHeight="1" thickBot="1" x14ac:dyDescent="0.3">
      <c r="B34" s="84" t="s">
        <v>108</v>
      </c>
      <c r="D34" s="45" t="s">
        <v>0</v>
      </c>
      <c r="E34" s="46" t="s">
        <v>1</v>
      </c>
      <c r="F34" s="46" t="s">
        <v>2</v>
      </c>
      <c r="G34" s="46" t="s">
        <v>3</v>
      </c>
      <c r="H34" s="47" t="s">
        <v>4</v>
      </c>
      <c r="J34" s="158"/>
      <c r="K34" s="107"/>
      <c r="L34" s="107"/>
      <c r="M34" s="107"/>
      <c r="N34" s="107"/>
      <c r="O34" s="107"/>
      <c r="P34" s="159"/>
      <c r="Q34" s="3"/>
      <c r="R34" s="3"/>
      <c r="S34" s="3"/>
    </row>
    <row r="35" spans="2:19" x14ac:dyDescent="0.25">
      <c r="B35" s="85"/>
      <c r="D35" s="49">
        <v>0</v>
      </c>
      <c r="E35" s="3">
        <v>0</v>
      </c>
      <c r="F35" s="9">
        <v>0</v>
      </c>
      <c r="G35" s="9">
        <v>0</v>
      </c>
      <c r="H35" s="50">
        <f>(E35-F35)/D4</f>
        <v>0</v>
      </c>
      <c r="J35" s="160"/>
      <c r="K35" s="144"/>
      <c r="L35" s="144"/>
      <c r="M35" s="144"/>
      <c r="N35" s="144"/>
      <c r="O35" s="144"/>
      <c r="P35" s="145"/>
    </row>
    <row r="36" spans="2:19" x14ac:dyDescent="0.25">
      <c r="B36" s="85"/>
      <c r="D36" s="49">
        <v>0.2</v>
      </c>
      <c r="E36" s="3">
        <v>0.214</v>
      </c>
      <c r="F36" s="9">
        <v>0.214</v>
      </c>
      <c r="G36" s="9">
        <v>0</v>
      </c>
      <c r="H36" s="50">
        <f>(E36-F36)/$D4</f>
        <v>0</v>
      </c>
      <c r="J36" s="160"/>
      <c r="K36" s="144"/>
      <c r="L36" s="144"/>
      <c r="M36" s="144"/>
      <c r="N36" s="144"/>
      <c r="O36" s="144"/>
      <c r="P36" s="145"/>
    </row>
    <row r="37" spans="2:19" x14ac:dyDescent="0.25">
      <c r="B37" s="85"/>
      <c r="D37" s="49">
        <v>0.4</v>
      </c>
      <c r="E37" s="3">
        <v>0.41199999999999998</v>
      </c>
      <c r="F37" s="9">
        <v>0.41199999999999998</v>
      </c>
      <c r="G37" s="9">
        <v>0</v>
      </c>
      <c r="H37" s="50">
        <f t="shared" ref="H37:H55" si="0">(E37-F37)/$D$4</f>
        <v>0</v>
      </c>
      <c r="J37" s="160"/>
      <c r="K37" s="144"/>
      <c r="L37" s="144"/>
      <c r="M37" s="144"/>
      <c r="N37" s="144"/>
      <c r="O37" s="144"/>
      <c r="P37" s="145"/>
    </row>
    <row r="38" spans="2:19" x14ac:dyDescent="0.25">
      <c r="B38" s="85"/>
      <c r="D38" s="49">
        <v>0.6</v>
      </c>
      <c r="E38" s="9">
        <v>0.624</v>
      </c>
      <c r="F38" s="9">
        <v>0.623</v>
      </c>
      <c r="G38" s="9">
        <v>0</v>
      </c>
      <c r="H38" s="50">
        <f t="shared" si="0"/>
        <v>1.0075566750629732E-7</v>
      </c>
      <c r="J38" s="160"/>
      <c r="K38" s="144"/>
      <c r="L38" s="144"/>
      <c r="M38" s="144"/>
      <c r="N38" s="144"/>
      <c r="O38" s="144"/>
      <c r="P38" s="145"/>
    </row>
    <row r="39" spans="2:19" x14ac:dyDescent="0.25">
      <c r="B39" s="85"/>
      <c r="D39" s="49">
        <v>0.8</v>
      </c>
      <c r="E39" s="9">
        <v>0.81599999999999995</v>
      </c>
      <c r="F39" s="9">
        <v>0.81599999999999995</v>
      </c>
      <c r="G39" s="9">
        <v>0</v>
      </c>
      <c r="H39" s="50">
        <f t="shared" si="0"/>
        <v>0</v>
      </c>
      <c r="J39" s="160"/>
      <c r="K39" s="144"/>
      <c r="L39" s="144"/>
      <c r="M39" s="144"/>
      <c r="N39" s="144"/>
      <c r="O39" s="144"/>
      <c r="P39" s="145"/>
    </row>
    <row r="40" spans="2:19" x14ac:dyDescent="0.25">
      <c r="B40" s="85"/>
      <c r="D40" s="49">
        <v>1</v>
      </c>
      <c r="E40" s="9">
        <v>1.0089999999999999</v>
      </c>
      <c r="F40" s="9">
        <v>1.008</v>
      </c>
      <c r="G40" s="9">
        <v>0</v>
      </c>
      <c r="H40" s="50">
        <f t="shared" si="0"/>
        <v>1.0075566750628613E-7</v>
      </c>
      <c r="J40" s="160"/>
      <c r="K40" s="144"/>
      <c r="L40" s="144"/>
      <c r="M40" s="144"/>
      <c r="N40" s="144"/>
      <c r="O40" s="144"/>
      <c r="P40" s="145"/>
      <c r="R40" s="31"/>
    </row>
    <row r="41" spans="2:19" x14ac:dyDescent="0.25">
      <c r="B41" s="85"/>
      <c r="D41" s="49">
        <v>1.2</v>
      </c>
      <c r="E41" s="9">
        <v>1.204</v>
      </c>
      <c r="F41" s="9">
        <v>1.2030000000000001</v>
      </c>
      <c r="G41" s="9">
        <v>0</v>
      </c>
      <c r="H41" s="50">
        <f t="shared" si="0"/>
        <v>1.0075566750628613E-7</v>
      </c>
      <c r="J41" s="160"/>
      <c r="K41" s="144"/>
      <c r="L41" s="144"/>
      <c r="M41" s="144"/>
      <c r="N41" s="144"/>
      <c r="O41" s="144"/>
      <c r="P41" s="145"/>
    </row>
    <row r="42" spans="2:19" x14ac:dyDescent="0.25">
      <c r="B42" s="85"/>
      <c r="D42" s="49">
        <v>1.4</v>
      </c>
      <c r="E42" s="9">
        <v>1.42</v>
      </c>
      <c r="F42" s="9">
        <v>1.401</v>
      </c>
      <c r="G42" s="9">
        <v>1.7000000000000001E-2</v>
      </c>
      <c r="H42" s="50">
        <f t="shared" si="0"/>
        <v>1.9143576826196379E-6</v>
      </c>
      <c r="J42" s="160"/>
      <c r="K42" s="144"/>
      <c r="L42" s="144"/>
      <c r="M42" s="144"/>
      <c r="N42" s="144"/>
      <c r="O42" s="144"/>
      <c r="P42" s="145"/>
    </row>
    <row r="43" spans="2:19" x14ac:dyDescent="0.25">
      <c r="B43" s="85"/>
      <c r="D43" s="49">
        <v>1.6</v>
      </c>
      <c r="E43" s="9">
        <v>1.617</v>
      </c>
      <c r="F43" s="9">
        <v>1.49</v>
      </c>
      <c r="G43" s="9">
        <v>0.126</v>
      </c>
      <c r="H43" s="50">
        <f t="shared" si="0"/>
        <v>1.2795969773299748E-5</v>
      </c>
      <c r="J43" s="160"/>
      <c r="K43" s="144"/>
      <c r="L43" s="144"/>
      <c r="M43" s="144"/>
      <c r="N43" s="144"/>
      <c r="O43" s="144"/>
      <c r="P43" s="145"/>
    </row>
    <row r="44" spans="2:19" x14ac:dyDescent="0.25">
      <c r="B44" s="85"/>
      <c r="D44" s="49">
        <v>1.8</v>
      </c>
      <c r="E44" s="9">
        <v>1.7989999999999999</v>
      </c>
      <c r="F44" s="9">
        <v>1.524</v>
      </c>
      <c r="G44" s="9">
        <v>0.27500000000000002</v>
      </c>
      <c r="H44" s="50">
        <f t="shared" si="0"/>
        <v>2.7707808564231731E-5</v>
      </c>
      <c r="J44" s="160"/>
      <c r="K44" s="144"/>
      <c r="L44" s="144"/>
      <c r="M44" s="144"/>
      <c r="N44" s="144"/>
      <c r="O44" s="144"/>
      <c r="P44" s="145"/>
    </row>
    <row r="45" spans="2:19" x14ac:dyDescent="0.25">
      <c r="B45" s="85"/>
      <c r="D45" s="49">
        <v>2</v>
      </c>
      <c r="E45" s="9">
        <v>2.004</v>
      </c>
      <c r="F45" s="9">
        <v>1.5449999999999999</v>
      </c>
      <c r="G45" s="9">
        <v>0.45900000000000002</v>
      </c>
      <c r="H45" s="50">
        <f t="shared" si="0"/>
        <v>4.6246851385390435E-5</v>
      </c>
      <c r="J45" s="160"/>
      <c r="K45" s="144"/>
      <c r="L45" s="144"/>
      <c r="M45" s="144"/>
      <c r="N45" s="144"/>
      <c r="O45" s="144"/>
      <c r="P45" s="145"/>
    </row>
    <row r="46" spans="2:19" x14ac:dyDescent="0.25">
      <c r="B46" s="85"/>
      <c r="D46" s="49">
        <v>2.2000000000000002</v>
      </c>
      <c r="E46" s="9">
        <v>2.202</v>
      </c>
      <c r="F46" s="9">
        <v>1.5589999999999999</v>
      </c>
      <c r="G46" s="9">
        <v>0.64300000000000002</v>
      </c>
      <c r="H46" s="50">
        <f t="shared" si="0"/>
        <v>6.4785894206549123E-5</v>
      </c>
      <c r="J46" s="160"/>
      <c r="K46" s="144"/>
      <c r="L46" s="144"/>
      <c r="M46" s="144"/>
      <c r="N46" s="144"/>
      <c r="O46" s="144"/>
      <c r="P46" s="145"/>
    </row>
    <row r="47" spans="2:19" x14ac:dyDescent="0.25">
      <c r="B47" s="85"/>
      <c r="D47" s="49">
        <v>2.4</v>
      </c>
      <c r="E47" s="9">
        <v>2.403</v>
      </c>
      <c r="F47" s="9">
        <v>1.57</v>
      </c>
      <c r="G47" s="9">
        <v>0.83099999999999996</v>
      </c>
      <c r="H47" s="50">
        <f t="shared" si="0"/>
        <v>8.3929471032745593E-5</v>
      </c>
      <c r="J47" s="160"/>
      <c r="K47" s="144"/>
      <c r="L47" s="144"/>
      <c r="M47" s="144"/>
      <c r="N47" s="144"/>
      <c r="O47" s="144"/>
      <c r="P47" s="145"/>
    </row>
    <row r="48" spans="2:19" x14ac:dyDescent="0.25">
      <c r="B48" s="85"/>
      <c r="D48" s="49">
        <v>2.6</v>
      </c>
      <c r="E48" s="9">
        <v>2.6190000000000002</v>
      </c>
      <c r="F48" s="9">
        <v>1.58</v>
      </c>
      <c r="G48" s="9">
        <v>1.0389999999999999</v>
      </c>
      <c r="H48" s="50">
        <f t="shared" si="0"/>
        <v>1.0468513853904283E-4</v>
      </c>
      <c r="J48" s="160"/>
      <c r="K48" s="144"/>
      <c r="L48" s="144"/>
      <c r="M48" s="144"/>
      <c r="N48" s="144"/>
      <c r="O48" s="144"/>
      <c r="P48" s="145"/>
    </row>
    <row r="49" spans="2:16" x14ac:dyDescent="0.25">
      <c r="B49" s="85"/>
      <c r="D49" s="49">
        <v>2.8</v>
      </c>
      <c r="E49" s="9">
        <v>2.8180000000000001</v>
      </c>
      <c r="F49" s="9">
        <v>1.587</v>
      </c>
      <c r="G49" s="9">
        <v>1.2290000000000001</v>
      </c>
      <c r="H49" s="50">
        <f t="shared" si="0"/>
        <v>1.240302267002519E-4</v>
      </c>
      <c r="J49" s="160"/>
      <c r="K49" s="144"/>
      <c r="L49" s="144"/>
      <c r="M49" s="144"/>
      <c r="N49" s="144"/>
      <c r="O49" s="144"/>
      <c r="P49" s="145"/>
    </row>
    <row r="50" spans="2:16" x14ac:dyDescent="0.25">
      <c r="B50" s="85"/>
      <c r="D50" s="49">
        <v>3</v>
      </c>
      <c r="E50" s="9">
        <v>3.036</v>
      </c>
      <c r="F50" s="9">
        <v>1.595</v>
      </c>
      <c r="G50" s="9">
        <v>1.4390000000000001</v>
      </c>
      <c r="H50" s="50">
        <f t="shared" si="0"/>
        <v>1.4518891687657432E-4</v>
      </c>
      <c r="J50" s="160"/>
      <c r="K50" s="144"/>
      <c r="L50" s="144"/>
      <c r="M50" s="144"/>
      <c r="N50" s="144"/>
      <c r="O50" s="144"/>
      <c r="P50" s="145"/>
    </row>
    <row r="51" spans="2:16" x14ac:dyDescent="0.25">
      <c r="B51" s="85"/>
      <c r="D51" s="49">
        <v>3.2</v>
      </c>
      <c r="E51" s="9">
        <v>3.2029999999999998</v>
      </c>
      <c r="F51" s="9">
        <v>1.6</v>
      </c>
      <c r="G51" s="9">
        <v>1.601</v>
      </c>
      <c r="H51" s="50">
        <f t="shared" si="0"/>
        <v>1.6151133501259444E-4</v>
      </c>
      <c r="J51" s="160"/>
      <c r="K51" s="144"/>
      <c r="L51" s="144"/>
      <c r="M51" s="144"/>
      <c r="N51" s="144"/>
      <c r="O51" s="144"/>
      <c r="P51" s="145"/>
    </row>
    <row r="52" spans="2:16" x14ac:dyDescent="0.25">
      <c r="B52" s="85"/>
      <c r="D52" s="49">
        <v>3.4</v>
      </c>
      <c r="E52" s="9">
        <v>3.4079999999999999</v>
      </c>
      <c r="F52" s="9">
        <v>1.605</v>
      </c>
      <c r="G52" s="9">
        <v>1.802</v>
      </c>
      <c r="H52" s="50">
        <f t="shared" si="0"/>
        <v>1.816624685138539E-4</v>
      </c>
      <c r="J52" s="160"/>
      <c r="K52" s="144"/>
      <c r="L52" s="144"/>
      <c r="M52" s="144"/>
      <c r="N52" s="144"/>
      <c r="O52" s="144"/>
      <c r="P52" s="145"/>
    </row>
    <row r="53" spans="2:16" x14ac:dyDescent="0.25">
      <c r="B53" s="85"/>
      <c r="D53" s="49">
        <v>3.6</v>
      </c>
      <c r="E53" s="9">
        <v>3.6139999999999999</v>
      </c>
      <c r="F53" s="9">
        <v>1.61</v>
      </c>
      <c r="G53" s="9">
        <v>2.0019999999999998</v>
      </c>
      <c r="H53" s="50">
        <f t="shared" si="0"/>
        <v>2.0191435768261961E-4</v>
      </c>
      <c r="J53" s="160"/>
      <c r="K53" s="144"/>
      <c r="L53" s="144"/>
      <c r="M53" s="144"/>
      <c r="N53" s="144"/>
      <c r="O53" s="144"/>
      <c r="P53" s="145"/>
    </row>
    <row r="54" spans="2:16" x14ac:dyDescent="0.25">
      <c r="B54" s="85"/>
      <c r="D54" s="49">
        <v>3.8</v>
      </c>
      <c r="E54" s="9">
        <v>3.8130000000000002</v>
      </c>
      <c r="F54" s="9">
        <v>1.615</v>
      </c>
      <c r="G54" s="9">
        <v>2.1970000000000001</v>
      </c>
      <c r="H54" s="50">
        <f t="shared" si="0"/>
        <v>2.2146095717884135E-4</v>
      </c>
      <c r="J54" s="160"/>
      <c r="K54" s="144"/>
      <c r="L54" s="144"/>
      <c r="M54" s="144"/>
      <c r="N54" s="144"/>
      <c r="O54" s="144"/>
      <c r="P54" s="145"/>
    </row>
    <row r="55" spans="2:16" ht="15.75" thickBot="1" x14ac:dyDescent="0.3">
      <c r="B55" s="85"/>
      <c r="D55" s="36">
        <v>4</v>
      </c>
      <c r="E55" s="6">
        <v>4.0309999999999997</v>
      </c>
      <c r="F55" s="6">
        <v>1.6180000000000001</v>
      </c>
      <c r="G55" s="6">
        <v>2.411</v>
      </c>
      <c r="H55" s="37">
        <f t="shared" si="0"/>
        <v>2.4312342569269516E-4</v>
      </c>
      <c r="J55" s="161"/>
      <c r="K55" s="146"/>
      <c r="L55" s="146"/>
      <c r="M55" s="146"/>
      <c r="N55" s="146"/>
      <c r="O55" s="146"/>
      <c r="P55" s="147"/>
    </row>
    <row r="56" spans="2:16" x14ac:dyDescent="0.25">
      <c r="B56" s="85"/>
      <c r="F56" s="3"/>
      <c r="G56" s="3"/>
      <c r="H56" s="3"/>
      <c r="I56" s="3"/>
      <c r="J56" s="3"/>
    </row>
    <row r="57" spans="2:16" ht="15.75" thickBot="1" x14ac:dyDescent="0.3">
      <c r="B57" s="85"/>
      <c r="F57" s="3"/>
      <c r="G57" s="3"/>
      <c r="H57" s="3"/>
      <c r="I57" s="3"/>
      <c r="J57" s="3"/>
    </row>
    <row r="58" spans="2:16" ht="15.75" thickBot="1" x14ac:dyDescent="0.3">
      <c r="B58" s="85"/>
      <c r="D58" s="231" t="s">
        <v>160</v>
      </c>
      <c r="E58" s="125"/>
      <c r="F58" s="232"/>
      <c r="G58" s="249">
        <v>1.0452999999999999</v>
      </c>
      <c r="H58" s="250"/>
      <c r="I58" s="3"/>
      <c r="J58" s="3"/>
    </row>
    <row r="59" spans="2:16" ht="15.75" thickBot="1" x14ac:dyDescent="0.3">
      <c r="B59" s="85"/>
      <c r="D59" s="135" t="s">
        <v>161</v>
      </c>
      <c r="E59" s="136"/>
      <c r="F59" s="137"/>
      <c r="G59" s="247">
        <v>0.99609999999999999</v>
      </c>
      <c r="H59" s="248"/>
      <c r="I59" s="3"/>
      <c r="J59" s="3"/>
    </row>
    <row r="60" spans="2:16" ht="15.75" thickBot="1" x14ac:dyDescent="0.3">
      <c r="B60" s="85"/>
      <c r="D60" s="251" t="s">
        <v>162</v>
      </c>
      <c r="E60" s="252"/>
      <c r="F60" s="253"/>
      <c r="G60" s="142">
        <v>19.23</v>
      </c>
      <c r="H60" s="143"/>
      <c r="I60" s="3"/>
      <c r="J60" s="3"/>
    </row>
    <row r="61" spans="2:16" ht="15.75" thickBot="1" x14ac:dyDescent="0.3">
      <c r="B61" s="85"/>
      <c r="D61" s="135" t="s">
        <v>163</v>
      </c>
      <c r="E61" s="136"/>
      <c r="F61" s="137"/>
      <c r="G61" s="247">
        <v>0.88949999999999996</v>
      </c>
      <c r="H61" s="248"/>
      <c r="I61" s="3"/>
      <c r="J61" s="3"/>
    </row>
    <row r="62" spans="2:16" ht="15.75" thickBot="1" x14ac:dyDescent="0.3">
      <c r="B62" s="86"/>
      <c r="D62" s="233" t="s">
        <v>164</v>
      </c>
      <c r="E62" s="234"/>
      <c r="F62" s="235"/>
      <c r="G62" s="243" t="s">
        <v>165</v>
      </c>
      <c r="H62" s="242"/>
      <c r="I62" s="3"/>
      <c r="J62" s="3"/>
    </row>
    <row r="63" spans="2:16" x14ac:dyDescent="0.25">
      <c r="F63" s="3"/>
      <c r="G63" s="3"/>
      <c r="H63" s="3"/>
      <c r="I63" s="3"/>
      <c r="J63" s="3"/>
    </row>
    <row r="64" spans="2:16" x14ac:dyDescent="0.25">
      <c r="F64" s="3"/>
      <c r="G64" s="3"/>
      <c r="H64" s="3"/>
      <c r="I64" s="3"/>
      <c r="J64" s="3"/>
    </row>
    <row r="65" spans="5:10" x14ac:dyDescent="0.25">
      <c r="F65" s="3"/>
      <c r="G65" s="3"/>
      <c r="H65" s="3"/>
      <c r="I65" s="3"/>
      <c r="J65" s="3"/>
    </row>
    <row r="69" spans="5:10" x14ac:dyDescent="0.25">
      <c r="E69" s="262"/>
      <c r="F69" s="262"/>
      <c r="G69" s="262"/>
      <c r="H69" s="262"/>
    </row>
    <row r="70" spans="5:10" x14ac:dyDescent="0.25">
      <c r="E70" s="262"/>
      <c r="F70" s="262"/>
      <c r="G70" s="262"/>
      <c r="H70" s="262"/>
    </row>
    <row r="71" spans="5:10" x14ac:dyDescent="0.25">
      <c r="E71" s="262"/>
      <c r="F71" s="262"/>
      <c r="G71" s="262"/>
      <c r="H71" s="262"/>
    </row>
    <row r="72" spans="5:10" x14ac:dyDescent="0.25">
      <c r="E72" s="262"/>
      <c r="F72" s="262"/>
      <c r="G72" s="262"/>
      <c r="H72" s="262"/>
    </row>
    <row r="73" spans="5:10" x14ac:dyDescent="0.25">
      <c r="E73" s="262"/>
      <c r="F73" s="262"/>
      <c r="G73" s="262"/>
      <c r="H73" s="262"/>
    </row>
    <row r="74" spans="5:10" ht="14.45" customHeight="1" x14ac:dyDescent="0.25">
      <c r="E74" s="262"/>
      <c r="F74" s="262"/>
      <c r="G74" s="262"/>
      <c r="H74" s="262"/>
    </row>
    <row r="75" spans="5:10" x14ac:dyDescent="0.25">
      <c r="E75" s="262"/>
      <c r="F75" s="262"/>
      <c r="G75" s="262"/>
      <c r="H75" s="262"/>
    </row>
    <row r="92" ht="57" customHeight="1" x14ac:dyDescent="0.25"/>
  </sheetData>
  <mergeCells count="22">
    <mergeCell ref="B34:B62"/>
    <mergeCell ref="G62:H62"/>
    <mergeCell ref="L2:L10"/>
    <mergeCell ref="M2:O10"/>
    <mergeCell ref="L12:R31"/>
    <mergeCell ref="J34:P55"/>
    <mergeCell ref="D58:F58"/>
    <mergeCell ref="D59:F59"/>
    <mergeCell ref="G58:H58"/>
    <mergeCell ref="G59:H59"/>
    <mergeCell ref="D9:F9"/>
    <mergeCell ref="D10:F10"/>
    <mergeCell ref="B2:B5"/>
    <mergeCell ref="I9:J9"/>
    <mergeCell ref="I10:J10"/>
    <mergeCell ref="D12:J31"/>
    <mergeCell ref="B8:B31"/>
    <mergeCell ref="D60:F60"/>
    <mergeCell ref="D61:F61"/>
    <mergeCell ref="D62:F62"/>
    <mergeCell ref="G60:H60"/>
    <mergeCell ref="G61:H61"/>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E197-8049-4743-9B95-7D5FAD584C08}">
  <sheetPr codeName="Hoja5"/>
  <dimension ref="B1:AB146"/>
  <sheetViews>
    <sheetView tabSelected="1" topLeftCell="A118" zoomScale="115" zoomScaleNormal="115" workbookViewId="0">
      <selection activeCell="N133" sqref="N133"/>
    </sheetView>
  </sheetViews>
  <sheetFormatPr baseColWidth="10" defaultRowHeight="15" x14ac:dyDescent="0.25"/>
  <cols>
    <col min="1" max="3" width="6.7109375" customWidth="1"/>
    <col min="5" max="5" width="13.140625" bestFit="1" customWidth="1"/>
    <col min="7" max="7" width="9" customWidth="1"/>
    <col min="8" max="8" width="12" bestFit="1" customWidth="1"/>
    <col min="9" max="9" width="10.42578125" style="10" customWidth="1"/>
    <col min="20" max="20" width="11.42578125" customWidth="1"/>
  </cols>
  <sheetData>
    <row r="1" spans="2:12" ht="15.75" thickBot="1" x14ac:dyDescent="0.3"/>
    <row r="2" spans="2:12" ht="18" thickBot="1" x14ac:dyDescent="0.35">
      <c r="B2" s="84" t="s">
        <v>80</v>
      </c>
      <c r="D2" s="41" t="s">
        <v>176</v>
      </c>
      <c r="F2" s="158"/>
      <c r="G2" s="107"/>
      <c r="H2" s="107"/>
      <c r="I2" s="107"/>
      <c r="J2" s="107"/>
      <c r="K2" s="159"/>
    </row>
    <row r="3" spans="2:12" ht="15.75" thickBot="1" x14ac:dyDescent="0.3">
      <c r="B3" s="85"/>
      <c r="D3" s="8">
        <v>9925</v>
      </c>
      <c r="F3" s="160"/>
      <c r="G3" s="144"/>
      <c r="H3" s="144"/>
      <c r="I3" s="144"/>
      <c r="J3" s="144"/>
      <c r="K3" s="145"/>
    </row>
    <row r="4" spans="2:12" ht="15.75" thickBot="1" x14ac:dyDescent="0.3">
      <c r="B4" s="85"/>
      <c r="F4" s="160"/>
      <c r="G4" s="144"/>
      <c r="H4" s="144"/>
      <c r="I4" s="144"/>
      <c r="J4" s="144"/>
      <c r="K4" s="145"/>
    </row>
    <row r="5" spans="2:12" ht="15.75" thickBot="1" x14ac:dyDescent="0.3">
      <c r="B5" s="85"/>
      <c r="D5" s="41" t="s">
        <v>177</v>
      </c>
      <c r="F5" s="160"/>
      <c r="G5" s="144"/>
      <c r="H5" s="144"/>
      <c r="I5" s="144"/>
      <c r="J5" s="144"/>
      <c r="K5" s="145"/>
    </row>
    <row r="6" spans="2:12" ht="15.75" thickBot="1" x14ac:dyDescent="0.3">
      <c r="B6" s="86"/>
      <c r="D6" s="17">
        <v>993200</v>
      </c>
      <c r="F6" s="160"/>
      <c r="G6" s="144"/>
      <c r="H6" s="144"/>
      <c r="I6" s="144"/>
      <c r="J6" s="144"/>
      <c r="K6" s="145"/>
    </row>
    <row r="7" spans="2:12" ht="15.75" thickBot="1" x14ac:dyDescent="0.3">
      <c r="F7" s="161"/>
      <c r="G7" s="146"/>
      <c r="H7" s="146"/>
      <c r="I7" s="146"/>
      <c r="J7" s="146"/>
      <c r="K7" s="147"/>
    </row>
    <row r="8" spans="2:12" ht="15.75" thickBot="1" x14ac:dyDescent="0.3"/>
    <row r="9" spans="2:12" ht="15.75" customHeight="1" thickBot="1" x14ac:dyDescent="0.3">
      <c r="B9" s="84" t="s">
        <v>81</v>
      </c>
      <c r="D9" s="10"/>
      <c r="E9" s="79" t="s">
        <v>6</v>
      </c>
      <c r="F9" s="80" t="s">
        <v>1</v>
      </c>
      <c r="G9" s="80" t="s">
        <v>7</v>
      </c>
      <c r="H9" s="80" t="s">
        <v>8</v>
      </c>
      <c r="I9" s="80" t="s">
        <v>9</v>
      </c>
      <c r="J9" s="80" t="s">
        <v>17</v>
      </c>
      <c r="K9" s="80" t="s">
        <v>10</v>
      </c>
      <c r="L9" s="81" t="s">
        <v>11</v>
      </c>
    </row>
    <row r="10" spans="2:12" x14ac:dyDescent="0.25">
      <c r="B10" s="85"/>
      <c r="D10" s="13">
        <v>1</v>
      </c>
      <c r="E10" s="20">
        <v>0</v>
      </c>
      <c r="F10" s="11">
        <f>E10</f>
        <v>0</v>
      </c>
      <c r="G10" s="11">
        <v>4.9409999999999998</v>
      </c>
      <c r="H10" s="11">
        <v>3.0000000000000001E-3</v>
      </c>
      <c r="I10" s="11">
        <v>0</v>
      </c>
      <c r="J10" s="22">
        <f>I10/$D$6</f>
        <v>0</v>
      </c>
      <c r="K10" s="11">
        <v>0</v>
      </c>
      <c r="L10" s="12">
        <f>K10/$D$3</f>
        <v>0</v>
      </c>
    </row>
    <row r="11" spans="2:12" x14ac:dyDescent="0.25">
      <c r="B11" s="85"/>
      <c r="D11" s="14">
        <v>2</v>
      </c>
      <c r="E11" s="2">
        <v>0.5</v>
      </c>
      <c r="F11" s="3">
        <f>E11</f>
        <v>0.5</v>
      </c>
      <c r="G11" s="9">
        <v>4.9390000000000001</v>
      </c>
      <c r="H11" s="9">
        <v>0.49</v>
      </c>
      <c r="I11" s="9">
        <v>0</v>
      </c>
      <c r="J11" s="23">
        <f>I11/$D$6</f>
        <v>0</v>
      </c>
      <c r="K11" s="9">
        <v>0</v>
      </c>
      <c r="L11" s="4">
        <f>K11/$D$3</f>
        <v>0</v>
      </c>
    </row>
    <row r="12" spans="2:12" x14ac:dyDescent="0.25">
      <c r="B12" s="85"/>
      <c r="D12" s="14">
        <v>3</v>
      </c>
      <c r="E12" s="2">
        <v>1</v>
      </c>
      <c r="F12" s="3">
        <f t="shared" ref="F12:F20" si="0">E12</f>
        <v>1</v>
      </c>
      <c r="G12" s="9">
        <v>4.9370000000000003</v>
      </c>
      <c r="H12" s="9">
        <v>0.92</v>
      </c>
      <c r="I12" s="9">
        <v>0</v>
      </c>
      <c r="J12" s="23">
        <f>I12/$D$6</f>
        <v>0</v>
      </c>
      <c r="K12" s="9">
        <v>1.0999999999999999E-2</v>
      </c>
      <c r="L12" s="4">
        <f>K12/$D$3</f>
        <v>1.1083123425692694E-6</v>
      </c>
    </row>
    <row r="13" spans="2:12" x14ac:dyDescent="0.25">
      <c r="B13" s="85"/>
      <c r="D13" s="14">
        <v>4</v>
      </c>
      <c r="E13" s="2">
        <v>1.5</v>
      </c>
      <c r="F13" s="3">
        <f t="shared" si="0"/>
        <v>1.5</v>
      </c>
      <c r="G13" s="9">
        <v>4.4450000000000003</v>
      </c>
      <c r="H13" s="9">
        <v>1.35</v>
      </c>
      <c r="I13" s="9">
        <v>0</v>
      </c>
      <c r="J13" s="23">
        <f>I13/$D$6</f>
        <v>0</v>
      </c>
      <c r="K13" s="9">
        <v>0.48099999999999998</v>
      </c>
      <c r="L13" s="4">
        <f>K13/$D$3</f>
        <v>4.8463476070528966E-5</v>
      </c>
    </row>
    <row r="14" spans="2:12" x14ac:dyDescent="0.25">
      <c r="B14" s="85"/>
      <c r="D14" s="14">
        <v>5</v>
      </c>
      <c r="E14" s="2">
        <v>2</v>
      </c>
      <c r="F14" s="3">
        <f t="shared" si="0"/>
        <v>2</v>
      </c>
      <c r="G14" s="9">
        <v>1.736</v>
      </c>
      <c r="H14" s="9">
        <v>1.395</v>
      </c>
      <c r="I14" s="9">
        <v>0</v>
      </c>
      <c r="J14" s="23">
        <f>I14/$D$6</f>
        <v>0</v>
      </c>
      <c r="K14" s="9">
        <v>2.4390000000000001</v>
      </c>
      <c r="L14" s="4">
        <f>K14/$D$3</f>
        <v>2.4574307304785892E-4</v>
      </c>
    </row>
    <row r="15" spans="2:12" x14ac:dyDescent="0.25">
      <c r="B15" s="85"/>
      <c r="D15" s="14">
        <v>6</v>
      </c>
      <c r="E15" s="2">
        <v>2.5</v>
      </c>
      <c r="F15" s="3">
        <f t="shared" si="0"/>
        <v>2.5</v>
      </c>
      <c r="G15" s="9">
        <v>0.28399999999999997</v>
      </c>
      <c r="H15" s="9">
        <v>1.798</v>
      </c>
      <c r="I15" s="9">
        <v>0</v>
      </c>
      <c r="J15" s="23">
        <f>I15/$D$6</f>
        <v>0</v>
      </c>
      <c r="K15" s="9">
        <v>4.569</v>
      </c>
      <c r="L15" s="4">
        <f>K15/$D$3</f>
        <v>4.6035264483627203E-4</v>
      </c>
    </row>
    <row r="16" spans="2:12" x14ac:dyDescent="0.25">
      <c r="B16" s="85"/>
      <c r="D16" s="14">
        <v>7</v>
      </c>
      <c r="E16" s="2">
        <v>3</v>
      </c>
      <c r="F16" s="3">
        <f t="shared" si="0"/>
        <v>3</v>
      </c>
      <c r="G16" s="9">
        <v>0.19600000000000001</v>
      </c>
      <c r="H16" s="9">
        <v>2.2749999999999999</v>
      </c>
      <c r="I16" s="9">
        <v>0</v>
      </c>
      <c r="J16" s="23">
        <f>I16/$D$6</f>
        <v>0</v>
      </c>
      <c r="K16" s="9">
        <v>4.6859999999999999</v>
      </c>
      <c r="L16" s="4">
        <f>K16/$D$3</f>
        <v>4.7214105793450878E-4</v>
      </c>
    </row>
    <row r="17" spans="2:18" x14ac:dyDescent="0.25">
      <c r="B17" s="85"/>
      <c r="D17" s="14">
        <v>8</v>
      </c>
      <c r="E17" s="2">
        <v>3.5</v>
      </c>
      <c r="F17" s="3">
        <f t="shared" si="0"/>
        <v>3.5</v>
      </c>
      <c r="G17" s="9">
        <v>0.157</v>
      </c>
      <c r="H17" s="9">
        <v>2.7360000000000002</v>
      </c>
      <c r="I17" s="9">
        <v>0</v>
      </c>
      <c r="J17" s="23">
        <f>I17/$D$6</f>
        <v>0</v>
      </c>
      <c r="K17" s="9">
        <v>4.7480000000000002</v>
      </c>
      <c r="L17" s="4">
        <f>K17/$D$3</f>
        <v>4.7838790931989926E-4</v>
      </c>
    </row>
    <row r="18" spans="2:18" x14ac:dyDescent="0.25">
      <c r="B18" s="85"/>
      <c r="D18" s="14">
        <v>9</v>
      </c>
      <c r="E18" s="2">
        <v>4</v>
      </c>
      <c r="F18" s="3">
        <f t="shared" si="0"/>
        <v>4</v>
      </c>
      <c r="G18" s="9">
        <v>0.13500000000000001</v>
      </c>
      <c r="H18" s="9">
        <v>3.1890000000000001</v>
      </c>
      <c r="I18" s="9">
        <v>0</v>
      </c>
      <c r="J18" s="23">
        <f>I18/$D$6</f>
        <v>0</v>
      </c>
      <c r="K18" s="9">
        <v>4.7649999999999997</v>
      </c>
      <c r="L18" s="4">
        <f>K18/$D$3</f>
        <v>4.8010075566750629E-4</v>
      </c>
    </row>
    <row r="19" spans="2:18" x14ac:dyDescent="0.25">
      <c r="B19" s="85"/>
      <c r="D19" s="14">
        <v>10</v>
      </c>
      <c r="E19" s="2">
        <v>4.5</v>
      </c>
      <c r="F19" s="3">
        <f t="shared" si="0"/>
        <v>4.5</v>
      </c>
      <c r="G19" s="9">
        <v>0.12</v>
      </c>
      <c r="H19" s="9">
        <v>3.66</v>
      </c>
      <c r="I19" s="9">
        <v>0</v>
      </c>
      <c r="J19" s="23">
        <f>I19/$D$6</f>
        <v>0</v>
      </c>
      <c r="K19" s="9">
        <v>4.7919999999999998</v>
      </c>
      <c r="L19" s="4">
        <f>K19/$D$3</f>
        <v>4.8282115869017632E-4</v>
      </c>
    </row>
    <row r="20" spans="2:18" ht="15.75" thickBot="1" x14ac:dyDescent="0.3">
      <c r="B20" s="85"/>
      <c r="D20" s="15">
        <v>11</v>
      </c>
      <c r="E20" s="5">
        <v>5</v>
      </c>
      <c r="F20" s="6">
        <f t="shared" si="0"/>
        <v>5</v>
      </c>
      <c r="G20" s="19">
        <v>0.11</v>
      </c>
      <c r="H20" s="19">
        <v>4.125</v>
      </c>
      <c r="I20" s="19">
        <v>0</v>
      </c>
      <c r="J20" s="24">
        <f>I20/$D$6</f>
        <v>0</v>
      </c>
      <c r="K20" s="19">
        <v>4.7910000000000004</v>
      </c>
      <c r="L20" s="7">
        <f>K20/$D$3</f>
        <v>4.8272040302267005E-4</v>
      </c>
    </row>
    <row r="21" spans="2:18" ht="15.75" thickBot="1" x14ac:dyDescent="0.3">
      <c r="B21" s="85"/>
      <c r="Q21" s="3"/>
      <c r="R21" s="3"/>
    </row>
    <row r="22" spans="2:18" ht="15" customHeight="1" x14ac:dyDescent="0.25">
      <c r="B22" s="85"/>
      <c r="D22" s="96" t="s">
        <v>18</v>
      </c>
      <c r="E22" s="97"/>
      <c r="F22" s="97"/>
      <c r="G22" s="98"/>
      <c r="I22" s="158"/>
      <c r="J22" s="107"/>
      <c r="K22" s="107"/>
      <c r="L22" s="159"/>
      <c r="Q22" s="188"/>
      <c r="R22" s="188"/>
    </row>
    <row r="23" spans="2:18" x14ac:dyDescent="0.25">
      <c r="B23" s="85"/>
      <c r="D23" s="102"/>
      <c r="E23" s="103"/>
      <c r="F23" s="103"/>
      <c r="G23" s="104"/>
      <c r="I23" s="160"/>
      <c r="J23" s="144"/>
      <c r="K23" s="144"/>
      <c r="L23" s="145"/>
      <c r="Q23" s="188"/>
      <c r="R23" s="188"/>
    </row>
    <row r="24" spans="2:18" x14ac:dyDescent="0.25">
      <c r="B24" s="85"/>
      <c r="D24" s="102"/>
      <c r="E24" s="103"/>
      <c r="F24" s="103"/>
      <c r="G24" s="104"/>
      <c r="I24" s="160"/>
      <c r="J24" s="144"/>
      <c r="K24" s="144"/>
      <c r="L24" s="145"/>
      <c r="Q24" s="188"/>
      <c r="R24" s="188"/>
    </row>
    <row r="25" spans="2:18" x14ac:dyDescent="0.25">
      <c r="B25" s="85"/>
      <c r="D25" s="102"/>
      <c r="E25" s="103"/>
      <c r="F25" s="103"/>
      <c r="G25" s="104"/>
      <c r="I25" s="160"/>
      <c r="J25" s="144"/>
      <c r="K25" s="144"/>
      <c r="L25" s="145"/>
      <c r="Q25" s="188"/>
      <c r="R25" s="188"/>
    </row>
    <row r="26" spans="2:18" x14ac:dyDescent="0.25">
      <c r="B26" s="85"/>
      <c r="D26" s="102"/>
      <c r="E26" s="103"/>
      <c r="F26" s="103"/>
      <c r="G26" s="104"/>
      <c r="I26" s="160"/>
      <c r="J26" s="144"/>
      <c r="K26" s="144"/>
      <c r="L26" s="145"/>
      <c r="Q26" s="188"/>
      <c r="R26" s="188"/>
    </row>
    <row r="27" spans="2:18" x14ac:dyDescent="0.25">
      <c r="B27" s="85"/>
      <c r="D27" s="102"/>
      <c r="E27" s="103"/>
      <c r="F27" s="103"/>
      <c r="G27" s="104"/>
      <c r="I27" s="160"/>
      <c r="J27" s="144"/>
      <c r="K27" s="144"/>
      <c r="L27" s="145"/>
      <c r="Q27" s="188"/>
      <c r="R27" s="188"/>
    </row>
    <row r="28" spans="2:18" x14ac:dyDescent="0.25">
      <c r="B28" s="85"/>
      <c r="D28" s="102"/>
      <c r="E28" s="103"/>
      <c r="F28" s="103"/>
      <c r="G28" s="104"/>
      <c r="I28" s="160"/>
      <c r="J28" s="144"/>
      <c r="K28" s="144"/>
      <c r="L28" s="145"/>
      <c r="Q28" s="188"/>
      <c r="R28" s="188"/>
    </row>
    <row r="29" spans="2:18" x14ac:dyDescent="0.25">
      <c r="B29" s="85"/>
      <c r="D29" s="102"/>
      <c r="E29" s="103"/>
      <c r="F29" s="103"/>
      <c r="G29" s="104"/>
      <c r="I29" s="160"/>
      <c r="J29" s="144"/>
      <c r="K29" s="144"/>
      <c r="L29" s="145"/>
      <c r="Q29" s="188"/>
      <c r="R29" s="188"/>
    </row>
    <row r="30" spans="2:18" x14ac:dyDescent="0.25">
      <c r="B30" s="85"/>
      <c r="D30" s="102"/>
      <c r="E30" s="103"/>
      <c r="F30" s="103"/>
      <c r="G30" s="104"/>
      <c r="I30" s="160"/>
      <c r="J30" s="144"/>
      <c r="K30" s="144"/>
      <c r="L30" s="145"/>
      <c r="Q30" s="188"/>
      <c r="R30" s="188"/>
    </row>
    <row r="31" spans="2:18" x14ac:dyDescent="0.25">
      <c r="B31" s="85"/>
      <c r="D31" s="102"/>
      <c r="E31" s="103"/>
      <c r="F31" s="103"/>
      <c r="G31" s="104"/>
      <c r="I31" s="160"/>
      <c r="J31" s="144"/>
      <c r="K31" s="144"/>
      <c r="L31" s="145"/>
      <c r="Q31" s="188"/>
      <c r="R31" s="188"/>
    </row>
    <row r="32" spans="2:18" x14ac:dyDescent="0.25">
      <c r="B32" s="85"/>
      <c r="D32" s="102"/>
      <c r="E32" s="103"/>
      <c r="F32" s="103"/>
      <c r="G32" s="104"/>
      <c r="I32" s="160"/>
      <c r="J32" s="144"/>
      <c r="K32" s="144"/>
      <c r="L32" s="145"/>
      <c r="Q32" s="188"/>
      <c r="R32" s="188"/>
    </row>
    <row r="33" spans="2:28" x14ac:dyDescent="0.25">
      <c r="B33" s="85"/>
      <c r="D33" s="102"/>
      <c r="E33" s="103"/>
      <c r="F33" s="103"/>
      <c r="G33" s="104"/>
      <c r="I33" s="160"/>
      <c r="J33" s="144"/>
      <c r="K33" s="144"/>
      <c r="L33" s="145"/>
      <c r="R33" s="3"/>
    </row>
    <row r="34" spans="2:28" x14ac:dyDescent="0.25">
      <c r="B34" s="85"/>
      <c r="D34" s="102"/>
      <c r="E34" s="103"/>
      <c r="F34" s="103"/>
      <c r="G34" s="104"/>
      <c r="I34" s="160"/>
      <c r="J34" s="144"/>
      <c r="K34" s="144"/>
      <c r="L34" s="145"/>
      <c r="R34" s="3"/>
    </row>
    <row r="35" spans="2:28" ht="21.75" customHeight="1" x14ac:dyDescent="0.25">
      <c r="B35" s="85"/>
      <c r="D35" s="102"/>
      <c r="E35" s="103"/>
      <c r="F35" s="103"/>
      <c r="G35" s="104"/>
      <c r="I35" s="160"/>
      <c r="J35" s="144"/>
      <c r="K35" s="144"/>
      <c r="L35" s="145"/>
      <c r="R35" s="3"/>
      <c r="T35" s="263"/>
      <c r="U35" s="263"/>
      <c r="V35" s="263"/>
      <c r="W35" s="263"/>
      <c r="X35" s="263"/>
      <c r="Y35" s="263"/>
      <c r="Z35" s="263"/>
    </row>
    <row r="36" spans="2:28" ht="15.75" customHeight="1" thickBot="1" x14ac:dyDescent="0.3">
      <c r="B36" s="86"/>
      <c r="D36" s="99"/>
      <c r="E36" s="100"/>
      <c r="F36" s="100"/>
      <c r="G36" s="101"/>
      <c r="I36" s="161"/>
      <c r="J36" s="146"/>
      <c r="K36" s="146"/>
      <c r="L36" s="147"/>
      <c r="R36" s="3"/>
      <c r="T36" s="263"/>
      <c r="U36" s="263"/>
      <c r="V36" s="263"/>
      <c r="W36" s="263"/>
      <c r="X36" s="263"/>
      <c r="Y36" s="263"/>
      <c r="Z36" s="263"/>
    </row>
    <row r="37" spans="2:28" ht="15" customHeight="1" x14ac:dyDescent="0.25">
      <c r="R37" s="3"/>
      <c r="T37" s="263"/>
      <c r="U37" s="263"/>
      <c r="V37" s="263"/>
      <c r="W37" s="263"/>
      <c r="X37" s="263"/>
      <c r="Y37" s="263"/>
      <c r="Z37" s="263"/>
    </row>
    <row r="38" spans="2:28" ht="15.75" customHeight="1" thickBot="1" x14ac:dyDescent="0.3">
      <c r="R38" s="3"/>
      <c r="T38" s="263"/>
      <c r="U38" s="263"/>
      <c r="V38" s="263"/>
      <c r="W38" s="263"/>
      <c r="X38" s="263"/>
      <c r="Y38" s="263"/>
      <c r="Z38" s="263"/>
    </row>
    <row r="39" spans="2:28" ht="15" customHeight="1" x14ac:dyDescent="0.25">
      <c r="B39" s="84" t="s">
        <v>108</v>
      </c>
      <c r="E39" s="87" t="s">
        <v>166</v>
      </c>
      <c r="F39" s="125"/>
      <c r="G39" s="125"/>
      <c r="H39" s="125"/>
      <c r="I39" s="125"/>
      <c r="J39" s="125"/>
      <c r="K39" s="232"/>
      <c r="T39" s="263"/>
      <c r="U39" s="263"/>
      <c r="V39" s="263"/>
      <c r="W39" s="263"/>
      <c r="X39" s="263"/>
      <c r="Y39" s="263"/>
      <c r="Z39" s="263"/>
    </row>
    <row r="40" spans="2:28" s="10" customFormat="1" ht="15.75" customHeight="1" thickBot="1" x14ac:dyDescent="0.3">
      <c r="B40" s="85"/>
      <c r="E40" s="233"/>
      <c r="F40" s="234"/>
      <c r="G40" s="234"/>
      <c r="H40" s="234"/>
      <c r="I40" s="234"/>
      <c r="J40" s="234"/>
      <c r="K40" s="235"/>
      <c r="R40" s="16"/>
      <c r="T40" s="263"/>
      <c r="U40" s="263"/>
      <c r="V40" s="263"/>
      <c r="W40" s="263"/>
      <c r="X40" s="263"/>
      <c r="Y40" s="263"/>
      <c r="Z40" s="263"/>
    </row>
    <row r="41" spans="2:28" ht="15" customHeight="1" x14ac:dyDescent="0.25">
      <c r="B41" s="85"/>
      <c r="E41" s="123" t="s">
        <v>167</v>
      </c>
      <c r="F41" s="116"/>
      <c r="G41" s="116"/>
      <c r="H41" s="116"/>
      <c r="I41" s="116"/>
      <c r="J41" s="116"/>
      <c r="K41" s="117"/>
      <c r="R41" s="3"/>
      <c r="T41" s="263"/>
      <c r="U41" s="263"/>
      <c r="V41" s="263"/>
      <c r="W41" s="263"/>
      <c r="X41" s="263"/>
      <c r="Y41" s="263"/>
      <c r="Z41" s="263"/>
    </row>
    <row r="42" spans="2:28" ht="15" customHeight="1" x14ac:dyDescent="0.25">
      <c r="B42" s="85"/>
      <c r="E42" s="124"/>
      <c r="F42" s="108"/>
      <c r="G42" s="108"/>
      <c r="H42" s="108"/>
      <c r="I42" s="108"/>
      <c r="J42" s="108"/>
      <c r="K42" s="180"/>
      <c r="R42" s="3"/>
      <c r="T42" s="263"/>
      <c r="U42" s="263"/>
      <c r="V42" s="263"/>
      <c r="W42" s="263"/>
      <c r="X42" s="263"/>
      <c r="Y42" s="263"/>
      <c r="Z42" s="263"/>
    </row>
    <row r="43" spans="2:28" ht="15.75" customHeight="1" thickBot="1" x14ac:dyDescent="0.3">
      <c r="B43" s="86"/>
      <c r="E43" s="118"/>
      <c r="F43" s="109"/>
      <c r="G43" s="109"/>
      <c r="H43" s="109"/>
      <c r="I43" s="109"/>
      <c r="J43" s="109"/>
      <c r="K43" s="119"/>
      <c r="R43" s="3"/>
      <c r="T43" s="263"/>
      <c r="U43" s="263"/>
      <c r="V43" s="263"/>
      <c r="W43" s="263"/>
      <c r="X43" s="263"/>
      <c r="Y43" s="263"/>
      <c r="Z43" s="263"/>
    </row>
    <row r="44" spans="2:28" x14ac:dyDescent="0.25">
      <c r="F44" s="26"/>
      <c r="G44" s="26"/>
      <c r="R44" s="3"/>
    </row>
    <row r="45" spans="2:28" ht="15.75" customHeight="1" thickBot="1" x14ac:dyDescent="0.3">
      <c r="I45" s="48"/>
      <c r="J45" s="3"/>
      <c r="K45" s="3"/>
      <c r="R45" s="3"/>
      <c r="S45" s="263"/>
      <c r="T45" s="263"/>
      <c r="U45" s="263"/>
      <c r="V45" s="263"/>
      <c r="W45" s="263"/>
      <c r="X45" s="263"/>
      <c r="Y45" s="263"/>
      <c r="Z45" s="263"/>
      <c r="AA45" s="263"/>
      <c r="AB45" s="263"/>
    </row>
    <row r="46" spans="2:28" ht="15" customHeight="1" x14ac:dyDescent="0.25">
      <c r="B46" s="84" t="s">
        <v>83</v>
      </c>
      <c r="E46" s="158"/>
      <c r="F46" s="107"/>
      <c r="G46" s="107"/>
      <c r="H46" s="107"/>
      <c r="I46" s="107"/>
      <c r="J46" s="107"/>
      <c r="K46" s="159"/>
      <c r="L46" s="263"/>
      <c r="M46" s="263"/>
      <c r="N46" s="263"/>
      <c r="O46" s="263"/>
      <c r="P46" s="263"/>
      <c r="Q46" s="263"/>
      <c r="R46" s="3"/>
      <c r="S46" s="263"/>
      <c r="T46" s="263"/>
      <c r="U46" s="263"/>
      <c r="V46" s="263"/>
      <c r="W46" s="263"/>
      <c r="X46" s="263"/>
      <c r="Y46" s="263"/>
      <c r="Z46" s="263"/>
      <c r="AA46" s="263"/>
      <c r="AB46" s="263"/>
    </row>
    <row r="47" spans="2:28" ht="15.75" customHeight="1" x14ac:dyDescent="0.25">
      <c r="B47" s="85"/>
      <c r="E47" s="160"/>
      <c r="F47" s="144"/>
      <c r="G47" s="144"/>
      <c r="H47" s="144"/>
      <c r="I47" s="144"/>
      <c r="J47" s="144"/>
      <c r="K47" s="145"/>
      <c r="L47" s="263"/>
      <c r="M47" s="263"/>
      <c r="N47" s="263"/>
      <c r="O47" s="263"/>
      <c r="P47" s="263"/>
      <c r="Q47" s="263"/>
      <c r="R47" s="3"/>
      <c r="S47" s="263"/>
      <c r="T47" s="263"/>
      <c r="U47" s="263"/>
      <c r="V47" s="263"/>
      <c r="W47" s="263"/>
      <c r="X47" s="263"/>
      <c r="Y47" s="263"/>
      <c r="Z47" s="263"/>
      <c r="AA47" s="263"/>
      <c r="AB47" s="263"/>
    </row>
    <row r="48" spans="2:28" ht="15" customHeight="1" x14ac:dyDescent="0.25">
      <c r="B48" s="85"/>
      <c r="E48" s="160"/>
      <c r="F48" s="144"/>
      <c r="G48" s="144"/>
      <c r="H48" s="144"/>
      <c r="I48" s="144"/>
      <c r="J48" s="144"/>
      <c r="K48" s="145"/>
      <c r="L48" s="263"/>
      <c r="M48" s="263"/>
      <c r="N48" s="263"/>
      <c r="O48" s="263"/>
      <c r="P48" s="263"/>
      <c r="Q48" s="263"/>
      <c r="R48" s="3"/>
      <c r="S48" s="263"/>
      <c r="T48" s="263"/>
      <c r="U48" s="263"/>
      <c r="V48" s="263"/>
      <c r="W48" s="263"/>
      <c r="X48" s="263"/>
      <c r="Y48" s="263"/>
      <c r="Z48" s="263"/>
      <c r="AA48" s="263"/>
      <c r="AB48" s="263"/>
    </row>
    <row r="49" spans="2:28" ht="15" customHeight="1" x14ac:dyDescent="0.25">
      <c r="B49" s="85"/>
      <c r="E49" s="160"/>
      <c r="F49" s="144"/>
      <c r="G49" s="144"/>
      <c r="H49" s="144"/>
      <c r="I49" s="144"/>
      <c r="J49" s="144"/>
      <c r="K49" s="145"/>
      <c r="L49" s="263"/>
      <c r="M49" s="263"/>
      <c r="N49" s="263"/>
      <c r="O49" s="263"/>
      <c r="P49" s="263"/>
      <c r="Q49" s="263"/>
      <c r="R49" s="3"/>
      <c r="S49" s="263"/>
      <c r="T49" s="263"/>
      <c r="U49" s="263"/>
      <c r="V49" s="263"/>
      <c r="W49" s="263"/>
      <c r="X49" s="263"/>
      <c r="Y49" s="263"/>
      <c r="Z49" s="263"/>
      <c r="AA49" s="263"/>
      <c r="AB49" s="263"/>
    </row>
    <row r="50" spans="2:28" ht="15" customHeight="1" x14ac:dyDescent="0.25">
      <c r="B50" s="85"/>
      <c r="E50" s="160"/>
      <c r="F50" s="144"/>
      <c r="G50" s="144"/>
      <c r="H50" s="144"/>
      <c r="I50" s="144"/>
      <c r="J50" s="144"/>
      <c r="K50" s="145"/>
      <c r="L50" s="263"/>
      <c r="M50" s="263"/>
      <c r="N50" s="263"/>
      <c r="O50" s="263"/>
      <c r="P50" s="263"/>
      <c r="Q50" s="263"/>
      <c r="R50" s="3"/>
      <c r="S50" s="263"/>
      <c r="T50" s="263"/>
      <c r="U50" s="263"/>
      <c r="V50" s="263"/>
      <c r="W50" s="263"/>
      <c r="X50" s="263"/>
      <c r="Y50" s="263"/>
      <c r="Z50" s="263"/>
      <c r="AA50" s="263"/>
      <c r="AB50" s="263"/>
    </row>
    <row r="51" spans="2:28" ht="15.75" customHeight="1" x14ac:dyDescent="0.25">
      <c r="B51" s="85"/>
      <c r="E51" s="160"/>
      <c r="F51" s="144"/>
      <c r="G51" s="144"/>
      <c r="H51" s="144"/>
      <c r="I51" s="144"/>
      <c r="J51" s="144"/>
      <c r="K51" s="145"/>
      <c r="L51" s="263"/>
      <c r="M51" s="263"/>
      <c r="N51" s="263"/>
      <c r="O51" s="263"/>
      <c r="P51" s="263"/>
      <c r="Q51" s="263"/>
      <c r="R51" s="3"/>
      <c r="S51" s="263"/>
      <c r="T51" s="263"/>
      <c r="U51" s="263"/>
      <c r="V51" s="263"/>
      <c r="W51" s="263"/>
      <c r="X51" s="263"/>
      <c r="Y51" s="263"/>
      <c r="Z51" s="263"/>
      <c r="AA51" s="263"/>
      <c r="AB51" s="263"/>
    </row>
    <row r="52" spans="2:28" ht="15" customHeight="1" x14ac:dyDescent="0.25">
      <c r="B52" s="85"/>
      <c r="E52" s="160"/>
      <c r="F52" s="144"/>
      <c r="G52" s="144"/>
      <c r="H52" s="144"/>
      <c r="I52" s="144"/>
      <c r="J52" s="144"/>
      <c r="K52" s="145"/>
      <c r="L52" s="162"/>
      <c r="M52" s="162"/>
      <c r="N52" s="162"/>
      <c r="O52" s="162"/>
      <c r="P52" s="162"/>
      <c r="Q52" s="3"/>
      <c r="R52" s="3"/>
      <c r="S52" s="263"/>
      <c r="T52" s="263"/>
      <c r="U52" s="263"/>
      <c r="V52" s="263"/>
      <c r="W52" s="263"/>
      <c r="X52" s="263"/>
      <c r="Y52" s="263"/>
      <c r="Z52" s="263"/>
      <c r="AA52" s="263"/>
      <c r="AB52" s="263"/>
    </row>
    <row r="53" spans="2:28" ht="15" customHeight="1" x14ac:dyDescent="0.25">
      <c r="B53" s="85"/>
      <c r="E53" s="160"/>
      <c r="F53" s="144"/>
      <c r="G53" s="144"/>
      <c r="H53" s="144"/>
      <c r="I53" s="144"/>
      <c r="J53" s="144"/>
      <c r="K53" s="145"/>
      <c r="L53" s="162"/>
      <c r="M53" s="162"/>
      <c r="N53" s="162"/>
      <c r="O53" s="162"/>
      <c r="P53" s="162"/>
      <c r="Q53" s="3"/>
      <c r="R53" s="3"/>
      <c r="S53" s="263"/>
      <c r="T53" s="263"/>
      <c r="U53" s="263"/>
      <c r="V53" s="263"/>
      <c r="W53" s="263"/>
      <c r="X53" s="263"/>
      <c r="Y53" s="263"/>
      <c r="Z53" s="263"/>
      <c r="AA53" s="263"/>
      <c r="AB53" s="263"/>
    </row>
    <row r="54" spans="2:28" ht="15.75" customHeight="1" x14ac:dyDescent="0.25">
      <c r="B54" s="85"/>
      <c r="E54" s="160"/>
      <c r="F54" s="144"/>
      <c r="G54" s="144"/>
      <c r="H54" s="144"/>
      <c r="I54" s="144"/>
      <c r="J54" s="144"/>
      <c r="K54" s="145"/>
      <c r="L54" s="162"/>
      <c r="M54" s="162"/>
      <c r="N54" s="162"/>
      <c r="O54" s="162"/>
      <c r="P54" s="162"/>
      <c r="Q54" s="3"/>
      <c r="R54" s="3"/>
      <c r="S54" s="263"/>
      <c r="T54" s="263"/>
      <c r="U54" s="263"/>
      <c r="V54" s="263"/>
      <c r="W54" s="263"/>
      <c r="X54" s="263"/>
      <c r="Y54" s="263"/>
      <c r="Z54" s="263"/>
      <c r="AA54" s="263"/>
      <c r="AB54" s="263"/>
    </row>
    <row r="55" spans="2:28" ht="15" customHeight="1" x14ac:dyDescent="0.25">
      <c r="B55" s="85"/>
      <c r="E55" s="160"/>
      <c r="F55" s="144"/>
      <c r="G55" s="144"/>
      <c r="H55" s="144"/>
      <c r="I55" s="144"/>
      <c r="J55" s="144"/>
      <c r="K55" s="145"/>
      <c r="L55" s="3"/>
      <c r="M55" s="3"/>
      <c r="N55" s="3"/>
      <c r="O55" s="3"/>
      <c r="P55" s="3"/>
      <c r="Q55" s="3"/>
      <c r="R55" s="3"/>
      <c r="S55" s="263"/>
      <c r="T55" s="263"/>
      <c r="U55" s="263"/>
      <c r="V55" s="263"/>
      <c r="W55" s="263"/>
      <c r="X55" s="263"/>
      <c r="Y55" s="263"/>
      <c r="Z55" s="263"/>
      <c r="AA55" s="263"/>
      <c r="AB55" s="263"/>
    </row>
    <row r="56" spans="2:28" ht="15" customHeight="1" x14ac:dyDescent="0.25">
      <c r="B56" s="85"/>
      <c r="E56" s="160"/>
      <c r="F56" s="144"/>
      <c r="G56" s="144"/>
      <c r="H56" s="144"/>
      <c r="I56" s="144"/>
      <c r="J56" s="144"/>
      <c r="K56" s="145"/>
      <c r="L56" s="3"/>
      <c r="M56" s="3"/>
      <c r="N56" s="3"/>
      <c r="O56" s="3"/>
      <c r="P56" s="3"/>
      <c r="Q56" s="3"/>
      <c r="R56" s="3"/>
      <c r="S56" s="263"/>
      <c r="T56" s="263"/>
      <c r="U56" s="263"/>
      <c r="V56" s="263"/>
      <c r="W56" s="263"/>
      <c r="X56" s="263"/>
      <c r="Y56" s="263"/>
      <c r="Z56" s="263"/>
      <c r="AA56" s="263"/>
      <c r="AB56" s="263"/>
    </row>
    <row r="57" spans="2:28" ht="15" customHeight="1" x14ac:dyDescent="0.25">
      <c r="B57" s="85"/>
      <c r="E57" s="160"/>
      <c r="F57" s="144"/>
      <c r="G57" s="144"/>
      <c r="H57" s="144"/>
      <c r="I57" s="144"/>
      <c r="J57" s="144"/>
      <c r="K57" s="145"/>
      <c r="L57" s="3"/>
      <c r="M57" s="3"/>
      <c r="N57" s="3"/>
      <c r="O57" s="3"/>
      <c r="P57" s="3"/>
      <c r="Q57" s="3"/>
      <c r="R57" s="3"/>
      <c r="S57" s="263"/>
      <c r="T57" s="263"/>
      <c r="U57" s="263"/>
      <c r="V57" s="263"/>
      <c r="W57" s="263"/>
      <c r="X57" s="263"/>
      <c r="Y57" s="263"/>
      <c r="Z57" s="263"/>
      <c r="AA57" s="263"/>
      <c r="AB57" s="263"/>
    </row>
    <row r="58" spans="2:28" ht="15" customHeight="1" x14ac:dyDescent="0.25">
      <c r="B58" s="85"/>
      <c r="E58" s="160"/>
      <c r="F58" s="144"/>
      <c r="G58" s="144"/>
      <c r="H58" s="144"/>
      <c r="I58" s="144"/>
      <c r="J58" s="144"/>
      <c r="K58" s="145"/>
      <c r="L58" s="3"/>
      <c r="M58" s="3"/>
      <c r="N58" s="3"/>
      <c r="O58" s="3"/>
      <c r="P58" s="3"/>
      <c r="Q58" s="3"/>
      <c r="R58" s="3"/>
      <c r="S58" s="263"/>
      <c r="T58" s="263"/>
      <c r="U58" s="263"/>
      <c r="V58" s="263"/>
      <c r="W58" s="263"/>
      <c r="X58" s="263"/>
      <c r="Y58" s="263"/>
      <c r="Z58" s="263"/>
      <c r="AA58" s="263"/>
      <c r="AB58" s="263"/>
    </row>
    <row r="59" spans="2:28" ht="15" customHeight="1" x14ac:dyDescent="0.25">
      <c r="B59" s="85"/>
      <c r="E59" s="160"/>
      <c r="F59" s="144"/>
      <c r="G59" s="144"/>
      <c r="H59" s="144"/>
      <c r="I59" s="144"/>
      <c r="J59" s="144"/>
      <c r="K59" s="145"/>
      <c r="L59" s="3"/>
      <c r="M59" s="3"/>
      <c r="N59" s="3"/>
      <c r="O59" s="3"/>
      <c r="P59" s="3"/>
      <c r="Q59" s="3"/>
      <c r="R59" s="3"/>
      <c r="S59" s="263"/>
      <c r="T59" s="263"/>
      <c r="U59" s="263"/>
      <c r="V59" s="263"/>
      <c r="W59" s="263"/>
      <c r="X59" s="263"/>
      <c r="Y59" s="263"/>
      <c r="Z59" s="263"/>
      <c r="AA59" s="263"/>
      <c r="AB59" s="263"/>
    </row>
    <row r="60" spans="2:28" ht="15.75" customHeight="1" thickBot="1" x14ac:dyDescent="0.3">
      <c r="B60" s="86"/>
      <c r="E60" s="161"/>
      <c r="F60" s="146"/>
      <c r="G60" s="146"/>
      <c r="H60" s="146"/>
      <c r="I60" s="146"/>
      <c r="J60" s="146"/>
      <c r="K60" s="147"/>
      <c r="L60" s="3"/>
      <c r="M60" s="9"/>
      <c r="N60" s="3"/>
      <c r="O60" s="3"/>
      <c r="P60" s="3"/>
      <c r="Q60" s="3"/>
      <c r="R60" s="3"/>
      <c r="S60" s="263"/>
      <c r="T60" s="263"/>
      <c r="U60" s="263"/>
      <c r="V60" s="263"/>
      <c r="W60" s="263"/>
      <c r="X60" s="263"/>
      <c r="Y60" s="263"/>
      <c r="Z60" s="263"/>
      <c r="AA60" s="263"/>
      <c r="AB60" s="263"/>
    </row>
    <row r="61" spans="2:28" ht="15" customHeight="1" x14ac:dyDescent="0.25">
      <c r="L61" s="3"/>
      <c r="M61" s="3"/>
      <c r="N61" s="3"/>
      <c r="O61" s="3"/>
      <c r="P61" s="3"/>
      <c r="Q61" s="3"/>
      <c r="R61" s="3"/>
      <c r="S61" s="263"/>
      <c r="T61" s="263"/>
      <c r="U61" s="263"/>
      <c r="V61" s="263"/>
      <c r="W61" s="263"/>
      <c r="X61" s="263"/>
      <c r="Y61" s="263"/>
      <c r="Z61" s="263"/>
      <c r="AA61" s="263"/>
      <c r="AB61" s="263"/>
    </row>
    <row r="62" spans="2:28" ht="15.75" customHeight="1" thickBot="1" x14ac:dyDescent="0.3">
      <c r="S62" s="263"/>
      <c r="T62" s="263"/>
      <c r="U62" s="263"/>
      <c r="V62" s="263"/>
      <c r="W62" s="263"/>
      <c r="X62" s="263"/>
      <c r="Y62" s="263"/>
      <c r="Z62" s="263"/>
      <c r="AA62" s="263"/>
      <c r="AB62" s="263"/>
    </row>
    <row r="63" spans="2:28" ht="15" customHeight="1" x14ac:dyDescent="0.25">
      <c r="B63" s="84" t="s">
        <v>84</v>
      </c>
      <c r="S63" s="263"/>
      <c r="T63" s="263"/>
      <c r="U63" s="263"/>
      <c r="V63" s="263"/>
      <c r="W63" s="263"/>
      <c r="X63" s="263"/>
      <c r="Y63" s="263"/>
      <c r="Z63" s="263"/>
      <c r="AA63" s="263"/>
      <c r="AB63" s="263"/>
    </row>
    <row r="64" spans="2:28" ht="15.75" customHeight="1" thickBot="1" x14ac:dyDescent="0.3">
      <c r="B64" s="85"/>
      <c r="S64" s="263"/>
      <c r="T64" s="263"/>
      <c r="U64" s="263"/>
      <c r="V64" s="263"/>
      <c r="W64" s="263"/>
      <c r="X64" s="263"/>
      <c r="Y64" s="263"/>
      <c r="Z64" s="263"/>
      <c r="AA64" s="263"/>
      <c r="AB64" s="263"/>
    </row>
    <row r="65" spans="2:28" ht="15.75" customHeight="1" thickBot="1" x14ac:dyDescent="0.35">
      <c r="B65" s="85"/>
      <c r="D65" s="41" t="s">
        <v>176</v>
      </c>
      <c r="S65" s="263"/>
      <c r="T65" s="263"/>
      <c r="U65" s="263"/>
      <c r="V65" s="263"/>
      <c r="W65" s="263"/>
      <c r="X65" s="263"/>
      <c r="Y65" s="263"/>
      <c r="Z65" s="263"/>
      <c r="AA65" s="263"/>
      <c r="AB65" s="263"/>
    </row>
    <row r="66" spans="2:28" ht="15.75" customHeight="1" thickBot="1" x14ac:dyDescent="0.3">
      <c r="B66" s="85"/>
      <c r="D66" s="8">
        <v>9925</v>
      </c>
      <c r="S66" s="263"/>
      <c r="T66" s="263"/>
      <c r="U66" s="263"/>
      <c r="V66" s="263"/>
      <c r="W66" s="263"/>
      <c r="X66" s="263"/>
      <c r="Y66" s="263"/>
      <c r="Z66" s="263"/>
      <c r="AA66" s="263"/>
      <c r="AB66" s="263"/>
    </row>
    <row r="67" spans="2:28" ht="15" customHeight="1" x14ac:dyDescent="0.25">
      <c r="B67" s="85"/>
      <c r="D67" s="26"/>
      <c r="S67" s="263"/>
      <c r="T67" s="263"/>
      <c r="U67" s="263"/>
      <c r="V67" s="263"/>
      <c r="W67" s="263"/>
      <c r="X67" s="263"/>
      <c r="Y67" s="263"/>
      <c r="Z67" s="263"/>
      <c r="AA67" s="263"/>
      <c r="AB67" s="263"/>
    </row>
    <row r="68" spans="2:28" ht="15.75" customHeight="1" thickBot="1" x14ac:dyDescent="0.3">
      <c r="B68" s="86"/>
      <c r="D68" s="25"/>
      <c r="S68" s="263"/>
      <c r="T68" s="263"/>
      <c r="U68" s="263"/>
      <c r="V68" s="263"/>
      <c r="W68" s="263"/>
      <c r="X68" s="263"/>
      <c r="Y68" s="263"/>
      <c r="Z68" s="263"/>
      <c r="AA68" s="263"/>
      <c r="AB68" s="263"/>
    </row>
    <row r="69" spans="2:28" ht="15" customHeight="1" x14ac:dyDescent="0.25">
      <c r="K69" s="262"/>
      <c r="L69" s="262"/>
      <c r="M69" s="262"/>
      <c r="N69" s="262"/>
      <c r="S69" s="263"/>
      <c r="T69" s="263"/>
      <c r="U69" s="263"/>
      <c r="V69" s="263"/>
      <c r="W69" s="263"/>
      <c r="X69" s="263"/>
      <c r="Y69" s="263"/>
      <c r="Z69" s="263"/>
      <c r="AA69" s="263"/>
      <c r="AB69" s="263"/>
    </row>
    <row r="70" spans="2:28" ht="15.75" customHeight="1" thickBot="1" x14ac:dyDescent="0.3">
      <c r="K70" s="262"/>
      <c r="L70" s="262"/>
      <c r="M70" s="262"/>
      <c r="N70" s="262"/>
      <c r="S70" s="263"/>
      <c r="T70" s="263"/>
      <c r="U70" s="263"/>
      <c r="V70" s="263"/>
      <c r="W70" s="263"/>
      <c r="X70" s="263"/>
      <c r="Y70" s="263"/>
      <c r="Z70" s="263"/>
      <c r="AA70" s="263"/>
      <c r="AB70" s="263"/>
    </row>
    <row r="71" spans="2:28" ht="15" customHeight="1" thickBot="1" x14ac:dyDescent="0.3">
      <c r="B71" s="84" t="s">
        <v>85</v>
      </c>
      <c r="E71" s="10"/>
      <c r="F71" s="38" t="s">
        <v>6</v>
      </c>
      <c r="G71" s="39" t="s">
        <v>1</v>
      </c>
      <c r="H71" s="39" t="s">
        <v>7</v>
      </c>
      <c r="I71" s="39" t="s">
        <v>8</v>
      </c>
      <c r="J71" s="39" t="s">
        <v>10</v>
      </c>
      <c r="K71" s="40" t="s">
        <v>11</v>
      </c>
      <c r="L71" s="262"/>
      <c r="S71" s="263"/>
      <c r="T71" s="263"/>
      <c r="U71" s="263"/>
      <c r="V71" s="263"/>
      <c r="W71" s="263"/>
      <c r="X71" s="263"/>
      <c r="Y71" s="263"/>
      <c r="Z71" s="263"/>
      <c r="AA71" s="263"/>
      <c r="AB71" s="263"/>
    </row>
    <row r="72" spans="2:28" ht="15.75" customHeight="1" x14ac:dyDescent="0.25">
      <c r="B72" s="85"/>
      <c r="E72" s="13">
        <v>1</v>
      </c>
      <c r="F72" s="20">
        <v>0</v>
      </c>
      <c r="G72" s="11">
        <f>F72</f>
        <v>0</v>
      </c>
      <c r="H72" s="11">
        <v>0</v>
      </c>
      <c r="I72" s="11">
        <f>H72</f>
        <v>0</v>
      </c>
      <c r="J72" s="21">
        <v>0</v>
      </c>
      <c r="K72" s="12">
        <f>J72/$D$3</f>
        <v>0</v>
      </c>
      <c r="L72" s="262"/>
      <c r="S72" s="263"/>
      <c r="T72" s="263"/>
      <c r="U72" s="263"/>
      <c r="V72" s="263"/>
      <c r="W72" s="263"/>
      <c r="X72" s="263"/>
      <c r="Y72" s="263"/>
      <c r="Z72" s="263"/>
      <c r="AA72" s="263"/>
      <c r="AB72" s="263"/>
    </row>
    <row r="73" spans="2:28" ht="15" customHeight="1" x14ac:dyDescent="0.25">
      <c r="B73" s="85"/>
      <c r="E73" s="14">
        <v>2</v>
      </c>
      <c r="F73" s="2">
        <v>0.5</v>
      </c>
      <c r="G73" s="3">
        <f>F73</f>
        <v>0.5</v>
      </c>
      <c r="H73" s="3">
        <v>0.45200000000000001</v>
      </c>
      <c r="I73" s="3">
        <f>H73</f>
        <v>0.45200000000000001</v>
      </c>
      <c r="J73" s="9">
        <v>2E-3</v>
      </c>
      <c r="K73" s="4">
        <f>J73/$D$3</f>
        <v>2.0151133501259446E-7</v>
      </c>
      <c r="L73" s="262"/>
      <c r="S73" s="263"/>
      <c r="T73" s="263"/>
      <c r="U73" s="263"/>
      <c r="V73" s="263"/>
      <c r="W73" s="263"/>
      <c r="X73" s="263"/>
      <c r="Y73" s="263"/>
      <c r="Z73" s="263"/>
      <c r="AA73" s="263"/>
      <c r="AB73" s="263"/>
    </row>
    <row r="74" spans="2:28" ht="14.45" customHeight="1" x14ac:dyDescent="0.25">
      <c r="B74" s="85"/>
      <c r="E74" s="14">
        <v>3</v>
      </c>
      <c r="F74" s="2">
        <v>1</v>
      </c>
      <c r="G74" s="3">
        <f t="shared" ref="G74:G82" si="1">F74</f>
        <v>1</v>
      </c>
      <c r="H74" s="3">
        <v>0.78100000000000003</v>
      </c>
      <c r="I74" s="3">
        <f t="shared" ref="I74:I82" si="2">H74</f>
        <v>0.78100000000000003</v>
      </c>
      <c r="J74" s="9">
        <v>0.184</v>
      </c>
      <c r="K74" s="4">
        <f>J74/$D$3</f>
        <v>1.8539042821158691E-5</v>
      </c>
      <c r="L74" s="262"/>
      <c r="Q74" s="27"/>
      <c r="S74" s="263"/>
      <c r="T74" s="263"/>
      <c r="U74" s="263"/>
      <c r="V74" s="263"/>
      <c r="W74" s="263"/>
      <c r="X74" s="263"/>
      <c r="Y74" s="263"/>
      <c r="Z74" s="263"/>
      <c r="AA74" s="263"/>
      <c r="AB74" s="263"/>
    </row>
    <row r="75" spans="2:28" ht="15" customHeight="1" x14ac:dyDescent="0.25">
      <c r="B75" s="85"/>
      <c r="E75" s="14">
        <v>4</v>
      </c>
      <c r="F75" s="2">
        <v>1.5</v>
      </c>
      <c r="G75" s="3">
        <f t="shared" si="1"/>
        <v>1.5</v>
      </c>
      <c r="H75" s="9">
        <v>0.90500000000000003</v>
      </c>
      <c r="I75" s="3">
        <f t="shared" si="2"/>
        <v>0.90500000000000003</v>
      </c>
      <c r="J75" s="9">
        <v>0.55800000000000005</v>
      </c>
      <c r="K75" s="4">
        <f>J75/$D$3</f>
        <v>5.6221662468513859E-5</v>
      </c>
      <c r="L75" s="262"/>
      <c r="Q75" s="27"/>
      <c r="S75" s="263"/>
      <c r="T75" s="263"/>
      <c r="U75" s="263"/>
      <c r="V75" s="263"/>
      <c r="W75" s="263"/>
      <c r="X75" s="263"/>
      <c r="Y75" s="263"/>
      <c r="Z75" s="263"/>
      <c r="AA75" s="263"/>
      <c r="AB75" s="263"/>
    </row>
    <row r="76" spans="2:28" ht="15" customHeight="1" x14ac:dyDescent="0.25">
      <c r="B76" s="85"/>
      <c r="E76" s="14">
        <v>5</v>
      </c>
      <c r="F76" s="2">
        <v>2</v>
      </c>
      <c r="G76" s="3">
        <f t="shared" si="1"/>
        <v>2</v>
      </c>
      <c r="H76" s="9">
        <v>0.96</v>
      </c>
      <c r="I76" s="3">
        <f t="shared" si="2"/>
        <v>0.96</v>
      </c>
      <c r="J76" s="9">
        <v>0.998</v>
      </c>
      <c r="K76" s="4">
        <f>J76/$D$3</f>
        <v>1.0055415617128463E-4</v>
      </c>
      <c r="L76" s="262"/>
      <c r="Q76" s="27"/>
      <c r="S76" s="263"/>
      <c r="T76" s="263"/>
      <c r="U76" s="263"/>
      <c r="V76" s="263"/>
      <c r="W76" s="263"/>
      <c r="X76" s="263"/>
      <c r="Y76" s="263"/>
      <c r="Z76" s="263"/>
      <c r="AA76" s="263"/>
      <c r="AB76" s="263"/>
    </row>
    <row r="77" spans="2:28" ht="15" customHeight="1" x14ac:dyDescent="0.25">
      <c r="B77" s="85"/>
      <c r="E77" s="14">
        <v>6</v>
      </c>
      <c r="F77" s="2">
        <v>2.5</v>
      </c>
      <c r="G77" s="3">
        <f t="shared" si="1"/>
        <v>2.5</v>
      </c>
      <c r="H77" s="9">
        <v>1.0029999999999999</v>
      </c>
      <c r="I77" s="3">
        <f t="shared" si="2"/>
        <v>1.0029999999999999</v>
      </c>
      <c r="J77" s="9">
        <v>1.456</v>
      </c>
      <c r="K77" s="4">
        <f>J77/$D$3</f>
        <v>1.4670025188916877E-4</v>
      </c>
      <c r="L77" s="262"/>
      <c r="Q77" s="27"/>
      <c r="S77" s="263"/>
      <c r="T77" s="263"/>
      <c r="U77" s="263"/>
      <c r="V77" s="263"/>
      <c r="W77" s="263"/>
      <c r="X77" s="263"/>
      <c r="Y77" s="263"/>
      <c r="Z77" s="263"/>
      <c r="AA77" s="263"/>
      <c r="AB77" s="263"/>
    </row>
    <row r="78" spans="2:28" ht="15" customHeight="1" x14ac:dyDescent="0.25">
      <c r="B78" s="85"/>
      <c r="E78" s="14">
        <v>7</v>
      </c>
      <c r="F78" s="2">
        <v>3</v>
      </c>
      <c r="G78" s="3">
        <f t="shared" si="1"/>
        <v>3</v>
      </c>
      <c r="H78" s="9">
        <v>1.03</v>
      </c>
      <c r="I78" s="3">
        <f t="shared" si="2"/>
        <v>1.03</v>
      </c>
      <c r="J78" s="9">
        <v>1.9350000000000001</v>
      </c>
      <c r="K78" s="4">
        <f>J78/$D$3</f>
        <v>1.9496221662468514E-4</v>
      </c>
      <c r="L78" s="262"/>
      <c r="Q78" s="27"/>
      <c r="S78" s="263"/>
      <c r="T78" s="263"/>
      <c r="U78" s="263"/>
      <c r="V78" s="263"/>
      <c r="W78" s="263"/>
      <c r="X78" s="263"/>
      <c r="Y78" s="263"/>
      <c r="Z78" s="263"/>
      <c r="AA78" s="263"/>
      <c r="AB78" s="263"/>
    </row>
    <row r="79" spans="2:28" ht="15" customHeight="1" x14ac:dyDescent="0.25">
      <c r="B79" s="85"/>
      <c r="E79" s="14">
        <v>8</v>
      </c>
      <c r="F79" s="2">
        <v>3.5</v>
      </c>
      <c r="G79" s="3">
        <f t="shared" si="1"/>
        <v>3.5</v>
      </c>
      <c r="H79" s="9">
        <v>1.0529999999999999</v>
      </c>
      <c r="I79" s="3">
        <f t="shared" si="2"/>
        <v>1.0529999999999999</v>
      </c>
      <c r="J79" s="9">
        <v>2.4369999999999998</v>
      </c>
      <c r="K79" s="4">
        <f>J79/$D$3</f>
        <v>2.4554156171284632E-4</v>
      </c>
      <c r="L79" s="262"/>
      <c r="Q79" s="27"/>
      <c r="S79" s="263"/>
      <c r="T79" s="263"/>
      <c r="U79" s="263"/>
      <c r="V79" s="263"/>
      <c r="W79" s="263"/>
      <c r="X79" s="263"/>
      <c r="Y79" s="263"/>
      <c r="Z79" s="263"/>
      <c r="AA79" s="263"/>
      <c r="AB79" s="263"/>
    </row>
    <row r="80" spans="2:28" x14ac:dyDescent="0.25">
      <c r="B80" s="85"/>
      <c r="E80" s="14">
        <v>9</v>
      </c>
      <c r="F80" s="2">
        <v>4</v>
      </c>
      <c r="G80" s="3">
        <f t="shared" si="1"/>
        <v>4</v>
      </c>
      <c r="H80" s="9">
        <v>1.071</v>
      </c>
      <c r="I80" s="3">
        <f t="shared" si="2"/>
        <v>1.071</v>
      </c>
      <c r="J80" s="9">
        <v>2.8650000000000002</v>
      </c>
      <c r="K80" s="4">
        <f>J80/$D$3</f>
        <v>2.8866498740554161E-4</v>
      </c>
      <c r="L80" s="262"/>
      <c r="Q80" s="27"/>
      <c r="S80" s="10"/>
      <c r="AA80" s="27"/>
    </row>
    <row r="81" spans="2:27" x14ac:dyDescent="0.25">
      <c r="B81" s="85"/>
      <c r="E81" s="14">
        <v>10</v>
      </c>
      <c r="F81" s="2">
        <v>4.5</v>
      </c>
      <c r="G81" s="3">
        <f t="shared" si="1"/>
        <v>4.5</v>
      </c>
      <c r="H81" s="9">
        <v>1.0900000000000001</v>
      </c>
      <c r="I81" s="3">
        <f t="shared" si="2"/>
        <v>1.0900000000000001</v>
      </c>
      <c r="J81" s="9">
        <v>3.42</v>
      </c>
      <c r="K81" s="4">
        <f>J81/$D$3</f>
        <v>3.445843828715365E-4</v>
      </c>
      <c r="L81" s="262"/>
      <c r="Q81" s="27"/>
      <c r="S81" s="10"/>
      <c r="AA81" s="27"/>
    </row>
    <row r="82" spans="2:27" ht="15.75" thickBot="1" x14ac:dyDescent="0.3">
      <c r="B82" s="85"/>
      <c r="E82" s="15">
        <v>11</v>
      </c>
      <c r="F82" s="5">
        <v>5</v>
      </c>
      <c r="G82" s="6">
        <f t="shared" si="1"/>
        <v>5</v>
      </c>
      <c r="H82" s="19">
        <v>1.103</v>
      </c>
      <c r="I82" s="6">
        <f t="shared" si="2"/>
        <v>1.103</v>
      </c>
      <c r="J82" s="19">
        <v>3.8839999999999999</v>
      </c>
      <c r="K82" s="7">
        <f>J82/$D$3</f>
        <v>3.9133501259445844E-4</v>
      </c>
      <c r="Q82" s="27"/>
      <c r="S82" s="10"/>
    </row>
    <row r="83" spans="2:27" ht="15.75" thickBot="1" x14ac:dyDescent="0.3">
      <c r="B83" s="85"/>
      <c r="Q83" s="27"/>
    </row>
    <row r="84" spans="2:27" ht="15" customHeight="1" x14ac:dyDescent="0.25">
      <c r="B84" s="85"/>
      <c r="D84" s="96" t="s">
        <v>19</v>
      </c>
      <c r="E84" s="97"/>
      <c r="F84" s="97"/>
      <c r="G84" s="98"/>
      <c r="H84" s="188"/>
      <c r="I84" s="158"/>
      <c r="J84" s="107"/>
      <c r="K84" s="159"/>
      <c r="Q84" s="27"/>
    </row>
    <row r="85" spans="2:27" ht="15" customHeight="1" x14ac:dyDescent="0.25">
      <c r="B85" s="85"/>
      <c r="D85" s="102"/>
      <c r="E85" s="103"/>
      <c r="F85" s="103"/>
      <c r="G85" s="104"/>
      <c r="H85" s="188"/>
      <c r="I85" s="160"/>
      <c r="J85" s="144"/>
      <c r="K85" s="145"/>
    </row>
    <row r="86" spans="2:27" x14ac:dyDescent="0.25">
      <c r="B86" s="85"/>
      <c r="D86" s="102"/>
      <c r="E86" s="103"/>
      <c r="F86" s="103"/>
      <c r="G86" s="104"/>
      <c r="H86" s="188"/>
      <c r="I86" s="160"/>
      <c r="J86" s="144"/>
      <c r="K86" s="145"/>
    </row>
    <row r="87" spans="2:27" x14ac:dyDescent="0.25">
      <c r="B87" s="85"/>
      <c r="D87" s="102"/>
      <c r="E87" s="103"/>
      <c r="F87" s="103"/>
      <c r="G87" s="104"/>
      <c r="H87" s="188"/>
      <c r="I87" s="160"/>
      <c r="J87" s="144"/>
      <c r="K87" s="145"/>
    </row>
    <row r="88" spans="2:27" x14ac:dyDescent="0.25">
      <c r="B88" s="85"/>
      <c r="D88" s="102"/>
      <c r="E88" s="103"/>
      <c r="F88" s="103"/>
      <c r="G88" s="104"/>
      <c r="H88" s="188"/>
      <c r="I88" s="160"/>
      <c r="J88" s="144"/>
      <c r="K88" s="145"/>
    </row>
    <row r="89" spans="2:27" x14ac:dyDescent="0.25">
      <c r="B89" s="85"/>
      <c r="D89" s="102"/>
      <c r="E89" s="103"/>
      <c r="F89" s="103"/>
      <c r="G89" s="104"/>
      <c r="H89" s="188"/>
      <c r="I89" s="160"/>
      <c r="J89" s="144"/>
      <c r="K89" s="145"/>
    </row>
    <row r="90" spans="2:27" x14ac:dyDescent="0.25">
      <c r="B90" s="85"/>
      <c r="D90" s="102"/>
      <c r="E90" s="103"/>
      <c r="F90" s="103"/>
      <c r="G90" s="104"/>
      <c r="H90" s="188"/>
      <c r="I90" s="160"/>
      <c r="J90" s="144"/>
      <c r="K90" s="145"/>
    </row>
    <row r="91" spans="2:27" x14ac:dyDescent="0.25">
      <c r="B91" s="85"/>
      <c r="D91" s="102"/>
      <c r="E91" s="103"/>
      <c r="F91" s="103"/>
      <c r="G91" s="104"/>
      <c r="H91" s="188"/>
      <c r="I91" s="160"/>
      <c r="J91" s="144"/>
      <c r="K91" s="145"/>
    </row>
    <row r="92" spans="2:27" x14ac:dyDescent="0.25">
      <c r="B92" s="85"/>
      <c r="D92" s="102"/>
      <c r="E92" s="103"/>
      <c r="F92" s="103"/>
      <c r="G92" s="104"/>
      <c r="H92" s="188"/>
      <c r="I92" s="160"/>
      <c r="J92" s="144"/>
      <c r="K92" s="145"/>
    </row>
    <row r="93" spans="2:27" x14ac:dyDescent="0.25">
      <c r="B93" s="85"/>
      <c r="D93" s="102"/>
      <c r="E93" s="103"/>
      <c r="F93" s="103"/>
      <c r="G93" s="104"/>
      <c r="H93" s="188"/>
      <c r="I93" s="160"/>
      <c r="J93" s="144"/>
      <c r="K93" s="145"/>
    </row>
    <row r="94" spans="2:27" x14ac:dyDescent="0.25">
      <c r="B94" s="85"/>
      <c r="D94" s="102"/>
      <c r="E94" s="103"/>
      <c r="F94" s="103"/>
      <c r="G94" s="104"/>
      <c r="H94" s="188"/>
      <c r="I94" s="160"/>
      <c r="J94" s="144"/>
      <c r="K94" s="145"/>
    </row>
    <row r="95" spans="2:27" ht="15.75" thickBot="1" x14ac:dyDescent="0.3">
      <c r="B95" s="86"/>
      <c r="D95" s="99"/>
      <c r="E95" s="100"/>
      <c r="F95" s="100"/>
      <c r="G95" s="101"/>
      <c r="I95" s="161"/>
      <c r="J95" s="146"/>
      <c r="K95" s="147"/>
    </row>
    <row r="97" spans="2:11" ht="15.75" thickBot="1" x14ac:dyDescent="0.3"/>
    <row r="98" spans="2:11" ht="15.75" thickBot="1" x14ac:dyDescent="0.3">
      <c r="B98" s="84" t="s">
        <v>86</v>
      </c>
      <c r="E98" s="162"/>
      <c r="F98" s="162"/>
      <c r="G98" s="162"/>
      <c r="H98" s="162"/>
      <c r="I98" s="162"/>
      <c r="J98" s="162"/>
      <c r="K98" s="162"/>
    </row>
    <row r="99" spans="2:11" x14ac:dyDescent="0.25">
      <c r="B99" s="85"/>
      <c r="E99" s="158"/>
      <c r="F99" s="107"/>
      <c r="G99" s="107"/>
      <c r="H99" s="107"/>
      <c r="I99" s="107"/>
      <c r="J99" s="107"/>
      <c r="K99" s="159"/>
    </row>
    <row r="100" spans="2:11" x14ac:dyDescent="0.25">
      <c r="B100" s="85"/>
      <c r="E100" s="160"/>
      <c r="F100" s="144"/>
      <c r="G100" s="144"/>
      <c r="H100" s="144"/>
      <c r="I100" s="144"/>
      <c r="J100" s="144"/>
      <c r="K100" s="145"/>
    </row>
    <row r="101" spans="2:11" x14ac:dyDescent="0.25">
      <c r="B101" s="85"/>
      <c r="E101" s="160"/>
      <c r="F101" s="144"/>
      <c r="G101" s="144"/>
      <c r="H101" s="144"/>
      <c r="I101" s="144"/>
      <c r="J101" s="144"/>
      <c r="K101" s="145"/>
    </row>
    <row r="102" spans="2:11" x14ac:dyDescent="0.25">
      <c r="B102" s="85"/>
      <c r="E102" s="160"/>
      <c r="F102" s="144"/>
      <c r="G102" s="144"/>
      <c r="H102" s="144"/>
      <c r="I102" s="144"/>
      <c r="J102" s="144"/>
      <c r="K102" s="145"/>
    </row>
    <row r="103" spans="2:11" x14ac:dyDescent="0.25">
      <c r="B103" s="85"/>
      <c r="E103" s="160"/>
      <c r="F103" s="144"/>
      <c r="G103" s="144"/>
      <c r="H103" s="144"/>
      <c r="I103" s="144"/>
      <c r="J103" s="144"/>
      <c r="K103" s="145"/>
    </row>
    <row r="104" spans="2:11" x14ac:dyDescent="0.25">
      <c r="B104" s="85"/>
      <c r="E104" s="160"/>
      <c r="F104" s="144"/>
      <c r="G104" s="144"/>
      <c r="H104" s="144"/>
      <c r="I104" s="144"/>
      <c r="J104" s="144"/>
      <c r="K104" s="145"/>
    </row>
    <row r="105" spans="2:11" x14ac:dyDescent="0.25">
      <c r="B105" s="85"/>
      <c r="E105" s="160"/>
      <c r="F105" s="144"/>
      <c r="G105" s="144"/>
      <c r="H105" s="144"/>
      <c r="I105" s="144"/>
      <c r="J105" s="144"/>
      <c r="K105" s="145"/>
    </row>
    <row r="106" spans="2:11" x14ac:dyDescent="0.25">
      <c r="B106" s="85"/>
      <c r="E106" s="160"/>
      <c r="F106" s="144"/>
      <c r="G106" s="144"/>
      <c r="H106" s="144"/>
      <c r="I106" s="144"/>
      <c r="J106" s="144"/>
      <c r="K106" s="145"/>
    </row>
    <row r="107" spans="2:11" x14ac:dyDescent="0.25">
      <c r="B107" s="85"/>
      <c r="E107" s="160"/>
      <c r="F107" s="144"/>
      <c r="G107" s="144"/>
      <c r="H107" s="144"/>
      <c r="I107" s="144"/>
      <c r="J107" s="144"/>
      <c r="K107" s="145"/>
    </row>
    <row r="108" spans="2:11" x14ac:dyDescent="0.25">
      <c r="B108" s="85"/>
      <c r="E108" s="160"/>
      <c r="F108" s="144"/>
      <c r="G108" s="144"/>
      <c r="H108" s="144"/>
      <c r="I108" s="144"/>
      <c r="J108" s="144"/>
      <c r="K108" s="145"/>
    </row>
    <row r="109" spans="2:11" x14ac:dyDescent="0.25">
      <c r="B109" s="85"/>
      <c r="E109" s="160"/>
      <c r="F109" s="144"/>
      <c r="G109" s="144"/>
      <c r="H109" s="144"/>
      <c r="I109" s="144"/>
      <c r="J109" s="144"/>
      <c r="K109" s="145"/>
    </row>
    <row r="110" spans="2:11" x14ac:dyDescent="0.25">
      <c r="B110" s="85"/>
      <c r="E110" s="160"/>
      <c r="F110" s="144"/>
      <c r="G110" s="144"/>
      <c r="H110" s="144"/>
      <c r="I110" s="144"/>
      <c r="J110" s="144"/>
      <c r="K110" s="145"/>
    </row>
    <row r="111" spans="2:11" x14ac:dyDescent="0.25">
      <c r="B111" s="85"/>
      <c r="E111" s="160"/>
      <c r="F111" s="144"/>
      <c r="G111" s="144"/>
      <c r="H111" s="144"/>
      <c r="I111" s="144"/>
      <c r="J111" s="144"/>
      <c r="K111" s="145"/>
    </row>
    <row r="112" spans="2:11" x14ac:dyDescent="0.25">
      <c r="B112" s="85"/>
      <c r="E112" s="160"/>
      <c r="F112" s="144"/>
      <c r="G112" s="144"/>
      <c r="H112" s="144"/>
      <c r="I112" s="144"/>
      <c r="J112" s="144"/>
      <c r="K112" s="145"/>
    </row>
    <row r="113" spans="2:11" ht="15.75" thickBot="1" x14ac:dyDescent="0.3">
      <c r="B113" s="86"/>
      <c r="E113" s="160"/>
      <c r="F113" s="144"/>
      <c r="G113" s="144"/>
      <c r="H113" s="144"/>
      <c r="I113" s="144"/>
      <c r="J113" s="144"/>
      <c r="K113" s="145"/>
    </row>
    <row r="114" spans="2:11" ht="15.75" thickBot="1" x14ac:dyDescent="0.3">
      <c r="E114" s="161"/>
      <c r="F114" s="146"/>
      <c r="G114" s="146"/>
      <c r="H114" s="146"/>
      <c r="I114" s="146"/>
      <c r="J114" s="146"/>
      <c r="K114" s="147"/>
    </row>
    <row r="115" spans="2:11" ht="15.75" thickBot="1" x14ac:dyDescent="0.3"/>
    <row r="116" spans="2:11" ht="15" customHeight="1" x14ac:dyDescent="0.25">
      <c r="B116" s="84" t="s">
        <v>87</v>
      </c>
    </row>
    <row r="117" spans="2:11" ht="15.75" thickBot="1" x14ac:dyDescent="0.3">
      <c r="B117" s="85"/>
    </row>
    <row r="118" spans="2:11" ht="15.75" thickBot="1" x14ac:dyDescent="0.3">
      <c r="B118" s="85"/>
      <c r="E118" s="45" t="s">
        <v>168</v>
      </c>
      <c r="F118" s="264" t="s">
        <v>169</v>
      </c>
      <c r="G118" s="265"/>
      <c r="H118" s="136" t="s">
        <v>170</v>
      </c>
      <c r="I118" s="136"/>
      <c r="J118" s="136"/>
      <c r="K118" s="137"/>
    </row>
    <row r="119" spans="2:11" ht="15.75" thickBot="1" x14ac:dyDescent="0.3">
      <c r="B119" s="85"/>
      <c r="E119" s="58" t="s">
        <v>171</v>
      </c>
      <c r="F119" s="105">
        <v>2.1999999999999999E-2</v>
      </c>
      <c r="G119" s="106"/>
      <c r="H119" s="266">
        <v>0.99070000000000003</v>
      </c>
      <c r="I119" s="266"/>
      <c r="J119" s="266"/>
      <c r="K119" s="106"/>
    </row>
    <row r="120" spans="2:11" ht="15.75" thickBot="1" x14ac:dyDescent="0.3">
      <c r="B120" s="85"/>
    </row>
    <row r="121" spans="2:11" x14ac:dyDescent="0.25">
      <c r="B121" s="85"/>
      <c r="E121" s="197" t="s">
        <v>178</v>
      </c>
      <c r="F121" s="189"/>
      <c r="G121" s="189"/>
      <c r="H121" s="189"/>
      <c r="I121" s="189"/>
      <c r="J121" s="189"/>
      <c r="K121" s="190"/>
    </row>
    <row r="122" spans="2:11" x14ac:dyDescent="0.25">
      <c r="B122" s="85"/>
      <c r="D122" s="262"/>
      <c r="E122" s="191"/>
      <c r="F122" s="192"/>
      <c r="G122" s="192"/>
      <c r="H122" s="192"/>
      <c r="I122" s="192"/>
      <c r="J122" s="192"/>
      <c r="K122" s="193"/>
    </row>
    <row r="123" spans="2:11" x14ac:dyDescent="0.25">
      <c r="B123" s="85"/>
      <c r="D123" s="262"/>
      <c r="E123" s="191"/>
      <c r="F123" s="192"/>
      <c r="G123" s="192"/>
      <c r="H123" s="192"/>
      <c r="I123" s="192"/>
      <c r="J123" s="192"/>
      <c r="K123" s="193"/>
    </row>
    <row r="124" spans="2:11" x14ac:dyDescent="0.25">
      <c r="B124" s="85"/>
      <c r="D124" s="262"/>
      <c r="E124" s="191"/>
      <c r="F124" s="192"/>
      <c r="G124" s="192"/>
      <c r="H124" s="192"/>
      <c r="I124" s="192"/>
      <c r="J124" s="192"/>
      <c r="K124" s="193"/>
    </row>
    <row r="125" spans="2:11" x14ac:dyDescent="0.25">
      <c r="B125" s="85"/>
      <c r="D125" s="262"/>
      <c r="E125" s="191"/>
      <c r="F125" s="192"/>
      <c r="G125" s="192"/>
      <c r="H125" s="192"/>
      <c r="I125" s="192"/>
      <c r="J125" s="192"/>
      <c r="K125" s="193"/>
    </row>
    <row r="126" spans="2:11" x14ac:dyDescent="0.25">
      <c r="B126" s="85"/>
      <c r="D126" s="262"/>
      <c r="E126" s="191"/>
      <c r="F126" s="192"/>
      <c r="G126" s="192"/>
      <c r="H126" s="192"/>
      <c r="I126" s="192"/>
      <c r="J126" s="192"/>
      <c r="K126" s="193"/>
    </row>
    <row r="127" spans="2:11" x14ac:dyDescent="0.25">
      <c r="B127" s="85"/>
      <c r="D127" s="262"/>
      <c r="E127" s="191"/>
      <c r="F127" s="192"/>
      <c r="G127" s="192"/>
      <c r="H127" s="192"/>
      <c r="I127" s="192"/>
      <c r="J127" s="192"/>
      <c r="K127" s="193"/>
    </row>
    <row r="128" spans="2:11" x14ac:dyDescent="0.25">
      <c r="B128" s="85"/>
      <c r="D128" s="262"/>
      <c r="E128" s="191"/>
      <c r="F128" s="192"/>
      <c r="G128" s="192"/>
      <c r="H128" s="192"/>
      <c r="I128" s="192"/>
      <c r="J128" s="192"/>
      <c r="K128" s="193"/>
    </row>
    <row r="129" spans="2:11" ht="15.75" thickBot="1" x14ac:dyDescent="0.3">
      <c r="B129" s="85"/>
      <c r="D129" s="262"/>
      <c r="E129" s="194"/>
      <c r="F129" s="195"/>
      <c r="G129" s="195"/>
      <c r="H129" s="195"/>
      <c r="I129" s="195"/>
      <c r="J129" s="195"/>
      <c r="K129" s="196"/>
    </row>
    <row r="130" spans="2:11" ht="15.75" thickBot="1" x14ac:dyDescent="0.3">
      <c r="B130" s="85"/>
    </row>
    <row r="131" spans="2:11" ht="15.75" thickBot="1" x14ac:dyDescent="0.3">
      <c r="B131" s="85"/>
      <c r="E131" s="96" t="s">
        <v>175</v>
      </c>
      <c r="F131" s="116"/>
      <c r="G131" s="117"/>
      <c r="I131" s="164" t="s">
        <v>172</v>
      </c>
      <c r="J131" s="221" t="s">
        <v>173</v>
      </c>
      <c r="K131" s="209" t="s">
        <v>174</v>
      </c>
    </row>
    <row r="132" spans="2:11" x14ac:dyDescent="0.25">
      <c r="B132" s="85"/>
      <c r="E132" s="124"/>
      <c r="F132" s="108"/>
      <c r="G132" s="180"/>
      <c r="I132" s="245">
        <v>1.03</v>
      </c>
      <c r="J132" s="3">
        <v>0.5</v>
      </c>
      <c r="K132" s="50">
        <f>(2*0.027*I132-0.0026)/(((-I132)-J132)^2)</f>
        <v>2.2649408347216883E-2</v>
      </c>
    </row>
    <row r="133" spans="2:11" x14ac:dyDescent="0.25">
      <c r="B133" s="85"/>
      <c r="E133" s="124"/>
      <c r="F133" s="108"/>
      <c r="G133" s="180"/>
      <c r="I133" s="245">
        <v>1.0529999999999999</v>
      </c>
      <c r="J133" s="3">
        <v>0.5</v>
      </c>
      <c r="K133" s="50">
        <f t="shared" ref="K133:K136" si="3">(2*0.027*I133-0.0026)/(((-I133)-J133)^2)</f>
        <v>2.2498464845267598E-2</v>
      </c>
    </row>
    <row r="134" spans="2:11" x14ac:dyDescent="0.25">
      <c r="B134" s="85"/>
      <c r="E134" s="124"/>
      <c r="F134" s="108"/>
      <c r="G134" s="180"/>
      <c r="I134" s="245">
        <v>1.071</v>
      </c>
      <c r="J134" s="3">
        <v>0.5</v>
      </c>
      <c r="K134" s="50">
        <f t="shared" si="3"/>
        <v>2.2379693043997242E-2</v>
      </c>
    </row>
    <row r="135" spans="2:11" x14ac:dyDescent="0.25">
      <c r="B135" s="85"/>
      <c r="E135" s="124"/>
      <c r="F135" s="108"/>
      <c r="G135" s="180"/>
      <c r="I135" s="245">
        <v>1.0900000000000001</v>
      </c>
      <c r="J135" s="3">
        <v>0.5</v>
      </c>
      <c r="K135" s="50">
        <f t="shared" si="3"/>
        <v>2.2253866540089394E-2</v>
      </c>
    </row>
    <row r="136" spans="2:11" ht="15.75" thickBot="1" x14ac:dyDescent="0.3">
      <c r="B136" s="86"/>
      <c r="E136" s="118"/>
      <c r="F136" s="109"/>
      <c r="G136" s="119"/>
      <c r="I136" s="246">
        <v>1.103</v>
      </c>
      <c r="J136" s="6">
        <v>0.5</v>
      </c>
      <c r="K136" s="37">
        <f t="shared" si="3"/>
        <v>2.2167574911202446E-2</v>
      </c>
    </row>
    <row r="141" spans="2:11" x14ac:dyDescent="0.25">
      <c r="E141" s="262"/>
      <c r="F141" s="262"/>
      <c r="G141" s="262"/>
    </row>
    <row r="142" spans="2:11" x14ac:dyDescent="0.25">
      <c r="E142" s="262"/>
      <c r="F142" s="262"/>
      <c r="G142" s="262"/>
    </row>
    <row r="143" spans="2:11" x14ac:dyDescent="0.25">
      <c r="E143" s="262"/>
      <c r="F143" s="262"/>
      <c r="G143" s="262"/>
    </row>
    <row r="144" spans="2:11" x14ac:dyDescent="0.25">
      <c r="E144" s="262"/>
      <c r="F144" s="262"/>
      <c r="G144" s="262"/>
    </row>
    <row r="145" spans="5:7" x14ac:dyDescent="0.25">
      <c r="E145" s="262"/>
      <c r="F145" s="262"/>
      <c r="G145" s="262"/>
    </row>
    <row r="146" spans="5:7" x14ac:dyDescent="0.25">
      <c r="E146" s="262"/>
      <c r="F146" s="262"/>
      <c r="G146" s="262"/>
    </row>
  </sheetData>
  <mergeCells count="23">
    <mergeCell ref="E99:K114"/>
    <mergeCell ref="E121:K129"/>
    <mergeCell ref="E131:G136"/>
    <mergeCell ref="I84:K95"/>
    <mergeCell ref="D84:G95"/>
    <mergeCell ref="B71:B95"/>
    <mergeCell ref="B98:B113"/>
    <mergeCell ref="F118:G118"/>
    <mergeCell ref="H118:K118"/>
    <mergeCell ref="F119:G119"/>
    <mergeCell ref="H119:K119"/>
    <mergeCell ref="B116:B136"/>
    <mergeCell ref="B9:B36"/>
    <mergeCell ref="B39:B43"/>
    <mergeCell ref="D22:G36"/>
    <mergeCell ref="E39:K40"/>
    <mergeCell ref="E41:K43"/>
    <mergeCell ref="I22:L36"/>
    <mergeCell ref="E46:K60"/>
    <mergeCell ref="B46:B60"/>
    <mergeCell ref="B63:B68"/>
    <mergeCell ref="B2:B6"/>
    <mergeCell ref="F2:K7"/>
  </mergeCells>
  <phoneticPr fontId="1"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6</vt:i4>
      </vt:variant>
    </vt:vector>
  </HeadingPairs>
  <TitlesOfParts>
    <vt:vector size="6" baseType="lpstr">
      <vt:lpstr>Ficha Alumnos</vt:lpstr>
      <vt:lpstr>Práctica 1</vt:lpstr>
      <vt:lpstr>Práctica 2</vt:lpstr>
      <vt:lpstr>Práctica 3</vt:lpstr>
      <vt:lpstr>Práctica 4</vt:lpstr>
      <vt:lpstr>Práctica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2022-12-08T17:06:37Z</cp:lastPrinted>
  <dcterms:created xsi:type="dcterms:W3CDTF">2022-11-29T22:14:39Z</dcterms:created>
  <dcterms:modified xsi:type="dcterms:W3CDTF">2022-12-08T17:18:56Z</dcterms:modified>
</cp:coreProperties>
</file>